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Rollup" sheetId="3" state="visible" r:id="rId3"/>
    <sheet xmlns:r="http://schemas.openxmlformats.org/officeDocument/2006/relationships" name="Instructions" sheetId="4" state="visible" r:id="rId4"/>
  </sheets>
  <definedNames>
    <definedName name="_xlnm._FilterDatabase" localSheetId="0" hidden="1">'Checklist'!$A$1:$M$33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Criterion</t>
        </is>
      </c>
      <c r="D1" s="1" t="inlineStr">
        <is>
          <t>Description</t>
        </is>
      </c>
      <c r="E1" s="1" t="inlineStr">
        <is>
          <t>Must-Have</t>
        </is>
      </c>
      <c r="F1" s="1" t="inlineStr">
        <is>
          <t>Weight</t>
        </is>
      </c>
      <c r="G1" s="1" t="inlineStr">
        <is>
          <t>Evidence/Notes</t>
        </is>
      </c>
      <c r="H1" s="1" t="inlineStr">
        <is>
          <t>Data Source</t>
        </is>
      </c>
      <c r="I1" s="1" t="inlineStr">
        <is>
          <t>Reviewer</t>
        </is>
      </c>
      <c r="J1" s="1" t="inlineStr">
        <is>
          <t>Date</t>
        </is>
      </c>
      <c r="K1" s="1" t="inlineStr">
        <is>
          <t>Score - Vendor A</t>
        </is>
      </c>
      <c r="L1" s="1" t="inlineStr">
        <is>
          <t>Score - Vendor B</t>
        </is>
      </c>
      <c r="M1" s="1" t="inlineStr">
        <is>
          <t>Score - Vendor C</t>
        </is>
      </c>
    </row>
    <row r="2">
      <c r="A2" t="inlineStr">
        <is>
          <t>C01</t>
        </is>
      </c>
      <c r="B2" t="inlineStr">
        <is>
          <t>Technical Capabilities</t>
        </is>
      </c>
      <c r="C2" t="inlineStr">
        <is>
          <t>Modality support</t>
        </is>
      </c>
      <c r="D2" t="inlineStr">
        <is>
          <t>High-quality inline, chat, and agent modes; seamless switching.</t>
        </is>
      </c>
      <c r="F2" t="n">
        <v>1</v>
      </c>
    </row>
    <row r="3">
      <c r="A3" t="inlineStr">
        <is>
          <t>C02</t>
        </is>
      </c>
      <c r="B3" t="inlineStr">
        <is>
          <t>Technical Capabilities</t>
        </is>
      </c>
      <c r="C3" t="inlineStr">
        <is>
          <t>Model support</t>
        </is>
      </c>
      <c r="D3" t="inlineStr">
        <is>
          <t>Multi-model routing (speed/reasoning/long-context), clear updates, BYOM/on‑prem options.</t>
        </is>
      </c>
      <c r="F3" t="n">
        <v>1</v>
      </c>
    </row>
    <row r="4">
      <c r="A4" t="inlineStr">
        <is>
          <t>C03</t>
        </is>
      </c>
      <c r="B4" t="inlineStr">
        <is>
          <t>Technical Capabilities</t>
        </is>
      </c>
      <c r="C4" t="inlineStr">
        <is>
          <t>Prompt / instruction customization</t>
        </is>
      </c>
      <c r="D4" t="inlineStr">
        <is>
          <t>Org/repo/system prompts; policy prompts; redaction rules and stop-lists.</t>
        </is>
      </c>
      <c r="F4" t="n">
        <v>1</v>
      </c>
    </row>
    <row r="5">
      <c r="A5" t="inlineStr">
        <is>
          <t>C04</t>
        </is>
      </c>
      <c r="B5" t="inlineStr">
        <is>
          <t>Technical Capabilities</t>
        </is>
      </c>
      <c r="C5" t="inlineStr">
        <is>
          <t>Context awareness &amp; intelligence</t>
        </is>
      </c>
      <c r="D5" t="inlineStr">
        <is>
          <t>Repo-aware context across monorepos; embeddings/code-graph retrieval; cross-file understanding.</t>
        </is>
      </c>
      <c r="F5" t="n">
        <v>1</v>
      </c>
    </row>
    <row r="6">
      <c r="A6" t="inlineStr">
        <is>
          <t>C05</t>
        </is>
      </c>
      <c r="B6" t="inlineStr">
        <is>
          <t>Technical Capabilities</t>
        </is>
      </c>
      <c r="C6" t="inlineStr">
        <is>
          <t>Agentic actions with guardrails</t>
        </is>
      </c>
      <c r="D6" t="inlineStr">
        <is>
          <t>Plan/execute refactors, test generation, migrations with dry-run/PR-only and approvals.</t>
        </is>
      </c>
      <c r="F6" t="n">
        <v>1</v>
      </c>
    </row>
    <row r="7">
      <c r="A7" t="inlineStr">
        <is>
          <t>C06</t>
        </is>
      </c>
      <c r="B7" t="inlineStr">
        <is>
          <t>Technical Capabilities</t>
        </is>
      </c>
      <c r="C7" t="inlineStr">
        <is>
          <t>Latency &amp; reliability</t>
        </is>
      </c>
      <c r="D7" t="inlineStr">
        <is>
          <t>Sub-200ms inline suggestions; stable chat; offline/air‑gapped options; published SLOs.</t>
        </is>
      </c>
      <c r="F7" t="n">
        <v>1</v>
      </c>
    </row>
    <row r="8">
      <c r="A8" t="inlineStr">
        <is>
          <t>C07</t>
        </is>
      </c>
      <c r="B8" t="inlineStr">
        <is>
          <t>Code Quality &amp; Safety</t>
        </is>
      </c>
      <c r="C8" t="inlineStr">
        <is>
          <t>Accuracy &amp; relevance</t>
        </is>
      </c>
      <c r="D8" t="inlineStr">
        <is>
          <t>Demonstrated correctness on representative tasks and stacks.</t>
        </is>
      </c>
      <c r="F8" t="n">
        <v>1</v>
      </c>
    </row>
    <row r="9">
      <c r="A9" t="inlineStr">
        <is>
          <t>C08</t>
        </is>
      </c>
      <c r="B9" t="inlineStr">
        <is>
          <t>Code Quality &amp; Safety</t>
        </is>
      </c>
      <c r="C9" t="inlineStr">
        <is>
          <t>Security practices</t>
        </is>
      </c>
      <c r="D9" t="inlineStr">
        <is>
          <t>Secret-leak prevention; framework-specific vuln hints; OWASP alignment; license/OSS policy awareness.</t>
        </is>
      </c>
      <c r="F9" t="n">
        <v>1</v>
      </c>
    </row>
    <row r="10">
      <c r="A10" t="inlineStr">
        <is>
          <t>C09</t>
        </is>
      </c>
      <c r="B10" t="inlineStr">
        <is>
          <t>Code Quality &amp; Safety</t>
        </is>
      </c>
      <c r="C10" t="inlineStr">
        <is>
          <t>Code augmentation with your codebase</t>
        </is>
      </c>
      <c r="D10" t="inlineStr">
        <is>
          <t>Produces idiomatic diffs; respects conventions and patterns.</t>
        </is>
      </c>
      <c r="F10" t="n">
        <v>1</v>
      </c>
    </row>
    <row r="11">
      <c r="A11" t="inlineStr">
        <is>
          <t>C10</t>
        </is>
      </c>
      <c r="B11" t="inlineStr">
        <is>
          <t>Code Quality &amp; Safety</t>
        </is>
      </c>
      <c r="C11" t="inlineStr">
        <is>
          <t>Testability &amp; correctness</t>
        </is>
      </c>
      <c r="D11" t="inlineStr">
        <is>
          <t>Run unit tests on proposed changes; regenerate on failure; supports snapshot/approval tests.</t>
        </is>
      </c>
      <c r="F11" t="n">
        <v>1</v>
      </c>
    </row>
    <row r="12">
      <c r="A12" t="inlineStr">
        <is>
          <t>C11</t>
        </is>
      </c>
      <c r="B12" t="inlineStr">
        <is>
          <t>Code Quality &amp; Safety</t>
        </is>
      </c>
      <c r="C12" t="inlineStr">
        <is>
          <t>Maintainability checks</t>
        </is>
      </c>
      <c r="D12" t="inlineStr">
        <is>
          <t>Complexity deltas, dependency hygiene, style compliance; minimal diffs.</t>
        </is>
      </c>
      <c r="F12" t="n">
        <v>1</v>
      </c>
    </row>
    <row r="13">
      <c r="A13" t="inlineStr">
        <is>
          <t>C12</t>
        </is>
      </c>
      <c r="B13" t="inlineStr">
        <is>
          <t>Code Quality &amp; Safety</t>
        </is>
      </c>
      <c r="C13" t="inlineStr">
        <is>
          <t>Provenance &amp; attribution</t>
        </is>
      </c>
      <c r="D13" t="inlineStr">
        <is>
          <t>Flags AI-generated diffs; trace prompts/models for audits.</t>
        </is>
      </c>
      <c r="F13" t="n">
        <v>1</v>
      </c>
    </row>
    <row r="14">
      <c r="A14" t="inlineStr">
        <is>
          <t>C13</t>
        </is>
      </c>
      <c r="B14" t="inlineStr">
        <is>
          <t>Integration &amp; Workflow</t>
        </is>
      </c>
      <c r="C14" t="inlineStr">
        <is>
          <t>Cross-IDE support</t>
        </is>
      </c>
      <c r="D14" t="inlineStr">
        <is>
          <t>First-class IntelliJ/JetBrains &amp; VS Code; support for Java, C#, Python.</t>
        </is>
      </c>
      <c r="F14" t="n">
        <v>1</v>
      </c>
    </row>
    <row r="15">
      <c r="A15" t="inlineStr">
        <is>
          <t>C14</t>
        </is>
      </c>
      <c r="B15" t="inlineStr">
        <is>
          <t>Integration &amp; Workflow</t>
        </is>
      </c>
      <c r="C15" t="inlineStr">
        <is>
          <t>Workflow impact</t>
        </is>
      </c>
      <c r="D15" t="inlineStr">
        <is>
          <t>Fits SDLC; respects branch policies; works with reviews/pairing.</t>
        </is>
      </c>
      <c r="F15" t="n">
        <v>1</v>
      </c>
    </row>
    <row r="16">
      <c r="A16" t="inlineStr">
        <is>
          <t>C15</t>
        </is>
      </c>
      <c r="B16" t="inlineStr">
        <is>
          <t>Integration &amp; Workflow</t>
        </is>
      </c>
      <c r="C16" t="inlineStr">
        <is>
          <t>PR &amp; CI integration</t>
        </is>
      </c>
      <c r="D16" t="inlineStr">
        <is>
          <t>Review bots, unit-test execution, SonarQube/quality gate hooks; suggest vs auto-commit.</t>
        </is>
      </c>
      <c r="F16" t="n">
        <v>1</v>
      </c>
    </row>
    <row r="17">
      <c r="A17" t="inlineStr">
        <is>
          <t>C16</t>
        </is>
      </c>
      <c r="B17" t="inlineStr">
        <is>
          <t>Integration &amp; Workflow</t>
        </is>
      </c>
      <c r="C17" t="inlineStr">
        <is>
          <t>CLI &amp; API</t>
        </is>
      </c>
      <c r="D17" t="inlineStr">
        <is>
          <t>Scriptable codemods, bulk refactors; webhooks/events for automation.</t>
        </is>
      </c>
      <c r="F17" t="n">
        <v>1</v>
      </c>
    </row>
    <row r="18">
      <c r="A18" t="inlineStr">
        <is>
          <t>C17</t>
        </is>
      </c>
      <c r="B18" t="inlineStr">
        <is>
          <t>Integration &amp; Workflow</t>
        </is>
      </c>
      <c r="C18" t="inlineStr">
        <is>
          <t>Observability</t>
        </is>
      </c>
      <c r="D18" t="inlineStr">
        <is>
          <t>Per-team dashboards, A/B flags, analytics export; privacy-aware logging.</t>
        </is>
      </c>
      <c r="F18" t="n">
        <v>1</v>
      </c>
    </row>
    <row r="19">
      <c r="A19" t="inlineStr">
        <is>
          <t>C18</t>
        </is>
      </c>
      <c r="B19" t="inlineStr">
        <is>
          <t>Measurement &amp; Value</t>
        </is>
      </c>
      <c r="C19" t="inlineStr">
        <is>
          <t>Outcome metrics</t>
        </is>
      </c>
      <c r="D19" t="inlineStr">
        <is>
          <t>PR cycle time, time-to-change, defect escape rate, MTTR, incidents.</t>
        </is>
      </c>
      <c r="F19" t="n">
        <v>1</v>
      </c>
    </row>
    <row r="20">
      <c r="A20" t="inlineStr">
        <is>
          <t>C19</t>
        </is>
      </c>
      <c r="B20" t="inlineStr">
        <is>
          <t>Measurement &amp; Value</t>
        </is>
      </c>
      <c r="C20" t="inlineStr">
        <is>
          <t>Adoption metrics</t>
        </is>
      </c>
      <c r="D20" t="inlineStr">
        <is>
          <t>Active seats, acceptance by repo/language, assisted tests per PR, agentic tasks.</t>
        </is>
      </c>
      <c r="F20" t="n">
        <v>1</v>
      </c>
    </row>
    <row r="21">
      <c r="A21" t="inlineStr">
        <is>
          <t>C20</t>
        </is>
      </c>
      <c r="B21" t="inlineStr">
        <is>
          <t>Measurement &amp; Value</t>
        </is>
      </c>
      <c r="C21" t="inlineStr">
        <is>
          <t>Quality metrics</t>
        </is>
      </c>
      <c r="D21" t="inlineStr">
        <is>
          <t>Post-merge rework %, flaky-test delta, security finding trends.</t>
        </is>
      </c>
      <c r="F21" t="n">
        <v>1</v>
      </c>
    </row>
    <row r="22">
      <c r="A22" t="inlineStr">
        <is>
          <t>C21</t>
        </is>
      </c>
      <c r="B22" t="inlineStr">
        <is>
          <t>Measurement &amp; Value</t>
        </is>
      </c>
      <c r="C22" t="inlineStr">
        <is>
          <t>Experiment design</t>
        </is>
      </c>
      <c r="D22" t="inlineStr">
        <is>
          <t>Cohorting, control vs treatment, feature flags for comparisons.</t>
        </is>
      </c>
      <c r="F22" t="n">
        <v>1</v>
      </c>
    </row>
    <row r="23">
      <c r="A23" t="inlineStr">
        <is>
          <t>C22</t>
        </is>
      </c>
      <c r="B23" t="inlineStr">
        <is>
          <t>Enterprise Readiness &amp; Governance</t>
        </is>
      </c>
      <c r="C23" t="inlineStr">
        <is>
          <t>Data security &amp; privacy</t>
        </is>
      </c>
      <c r="D23" t="inlineStr">
        <is>
          <t>No training on your code by default; residency; retention; VPC/private networking.</t>
        </is>
      </c>
      <c r="F23" t="n">
        <v>1</v>
      </c>
    </row>
    <row r="24">
      <c r="A24" t="inlineStr">
        <is>
          <t>C23</t>
        </is>
      </c>
      <c r="B24" t="inlineStr">
        <is>
          <t>Enterprise Readiness &amp; Governance</t>
        </is>
      </c>
      <c r="C24" t="inlineStr">
        <is>
          <t>Admin &amp; policy controls</t>
        </is>
      </c>
      <c r="D24" t="inlineStr">
        <is>
          <t>SSO/SCIM/RBAC; per-BU policies; audit logs for prompts/outputs/actions; IP terms.</t>
        </is>
      </c>
      <c r="F24" t="n">
        <v>1</v>
      </c>
    </row>
    <row r="25">
      <c r="A25" t="inlineStr">
        <is>
          <t>C24</t>
        </is>
      </c>
      <c r="B25" t="inlineStr">
        <is>
          <t>Enterprise Readiness &amp; Governance</t>
        </is>
      </c>
      <c r="C25" t="inlineStr">
        <is>
          <t>Compliance</t>
        </is>
      </c>
      <c r="D25" t="inlineStr">
        <is>
          <t>SOC 2/ISO 27001 evidence; audit artifact retention; configurable redaction/logging.</t>
        </is>
      </c>
      <c r="F25" t="n">
        <v>1</v>
      </c>
    </row>
    <row r="26">
      <c r="A26" t="inlineStr">
        <is>
          <t>C25</t>
        </is>
      </c>
      <c r="B26" t="inlineStr">
        <is>
          <t>Cost &amp; Capacity Planning</t>
        </is>
      </c>
      <c r="C26" t="inlineStr">
        <is>
          <t>Licensing &amp; limits</t>
        </is>
      </c>
      <c r="D26" t="inlineStr">
        <is>
          <t>Clear seat/usage pricing; transparent rate limits.</t>
        </is>
      </c>
      <c r="F26" t="n">
        <v>1</v>
      </c>
    </row>
    <row r="27">
      <c r="A27" t="inlineStr">
        <is>
          <t>C26</t>
        </is>
      </c>
      <c r="B27" t="inlineStr">
        <is>
          <t>Cost &amp; Capacity Planning</t>
        </is>
      </c>
      <c r="C27" t="inlineStr">
        <is>
          <t>Controls &amp; governance of spend</t>
        </is>
      </c>
      <c r="D27" t="inlineStr">
        <is>
          <t>Per-team budgets/caps/alerts; burst protection; auto-throttle.</t>
        </is>
      </c>
      <c r="F27" t="n">
        <v>1</v>
      </c>
    </row>
    <row r="28">
      <c r="A28" t="inlineStr">
        <is>
          <t>C27</t>
        </is>
      </c>
      <c r="B28" t="inlineStr">
        <is>
          <t>Cost &amp; Capacity Planning</t>
        </is>
      </c>
      <c r="C28" t="inlineStr">
        <is>
          <t>Total cost of ownership</t>
        </is>
      </c>
      <c r="D28" t="inlineStr">
        <is>
          <t>Include enablement, security review, SLAs, infra vs productivity deltas.</t>
        </is>
      </c>
      <c r="F28" t="n">
        <v>1</v>
      </c>
    </row>
    <row r="29">
      <c r="A29" t="inlineStr">
        <is>
          <t>C28</t>
        </is>
      </c>
      <c r="B29" t="inlineStr">
        <is>
          <t>Adoption &amp; Change Management</t>
        </is>
      </c>
      <c r="C29" t="inlineStr">
        <is>
          <t>Learning curve</t>
        </is>
      </c>
      <c r="D29" t="inlineStr">
        <is>
          <t>Time-to-effectiveness; documentation quality; role-targeted guidance.</t>
        </is>
      </c>
      <c r="F29" t="n">
        <v>1</v>
      </c>
    </row>
    <row r="30">
      <c r="A30" t="inlineStr">
        <is>
          <t>C29</t>
        </is>
      </c>
      <c r="B30" t="inlineStr">
        <is>
          <t>Adoption &amp; Change Management</t>
        </is>
      </c>
      <c r="C30" t="inlineStr">
        <is>
          <t>Developer adoption factors</t>
        </is>
      </c>
      <c r="D30" t="inlineStr">
        <is>
          <t>Team dynamics, resistance points, fit with practices.</t>
        </is>
      </c>
      <c r="F30" t="n">
        <v>1</v>
      </c>
    </row>
    <row r="31">
      <c r="A31" t="inlineStr">
        <is>
          <t>C30</t>
        </is>
      </c>
      <c r="B31" t="inlineStr">
        <is>
          <t>Adoption &amp; Change Management</t>
        </is>
      </c>
      <c r="C31" t="inlineStr">
        <is>
          <t>Enablement</t>
        </is>
      </c>
      <c r="D31" t="inlineStr">
        <is>
          <t>Quick-start playbooks, golden paths, office hours, exemplar repos.</t>
        </is>
      </c>
      <c r="F31" t="n">
        <v>1</v>
      </c>
    </row>
    <row r="32">
      <c r="A32" t="inlineStr">
        <is>
          <t>C31</t>
        </is>
      </c>
      <c r="B32" t="inlineStr">
        <is>
          <t>Adoption &amp; Change Management</t>
        </is>
      </c>
      <c r="C32" t="inlineStr">
        <is>
          <t>Change risk controls</t>
        </is>
      </c>
      <c r="D32" t="inlineStr">
        <is>
          <t>Rollout by repo/branch; agent guardrails; revert &amp; kill-switch.</t>
        </is>
      </c>
      <c r="F32" t="n">
        <v>1</v>
      </c>
    </row>
    <row r="33">
      <c r="A33" t="inlineStr">
        <is>
          <t>C32</t>
        </is>
      </c>
      <c r="B33" t="inlineStr">
        <is>
          <t>Adoption &amp; Change Management</t>
        </is>
      </c>
      <c r="C33" t="inlineStr">
        <is>
          <t>Vendor support</t>
        </is>
      </c>
      <c r="D33" t="inlineStr">
        <is>
          <t>Community strength, roadmap transparency, responsiveness.</t>
        </is>
      </c>
      <c r="F33" t="n">
        <v>1</v>
      </c>
    </row>
  </sheetData>
  <autoFilter ref="A1:M33"/>
  <dataValidations count="2">
    <dataValidation sqref="E2:E33" showErrorMessage="1" showDropDown="1" showInputMessage="1" allowBlank="1" type="list">
      <formula1>"Yes,No"</formula1>
    </dataValidation>
    <dataValidation sqref="K2:K33 L2:L33 M2:M33" showErrorMessage="1" showInputMessage="1" allowBlank="1" type="whole" operator="between">
      <formula1>0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Definition</t>
        </is>
      </c>
    </row>
    <row r="2">
      <c r="A2" t="inlineStr">
        <is>
          <t>Score scale 0–5</t>
        </is>
      </c>
      <c r="B2" t="inlineStr">
        <is>
          <t>Use integers 0–5 for each criterion per vendor</t>
        </is>
      </c>
    </row>
    <row r="3">
      <c r="A3" t="inlineStr">
        <is>
          <t>0</t>
        </is>
      </c>
      <c r="B3" t="inlineStr">
        <is>
          <t>No capability / not applicable</t>
        </is>
      </c>
    </row>
    <row r="4">
      <c r="A4" t="inlineStr">
        <is>
          <t>1</t>
        </is>
      </c>
      <c r="B4" t="inlineStr">
        <is>
          <t>Initial / experimental capability</t>
        </is>
      </c>
    </row>
    <row r="5">
      <c r="A5" t="inlineStr">
        <is>
          <t>2</t>
        </is>
      </c>
      <c r="B5" t="inlineStr">
        <is>
          <t>Basic capability; gaps for production use</t>
        </is>
      </c>
    </row>
    <row r="6">
      <c r="A6" t="inlineStr">
        <is>
          <t>3</t>
        </is>
      </c>
      <c r="B6" t="inlineStr">
        <is>
          <t>Good capability; meets most needs</t>
        </is>
      </c>
    </row>
    <row r="7">
      <c r="A7" t="inlineStr">
        <is>
          <t>4</t>
        </is>
      </c>
      <c r="B7" t="inlineStr">
        <is>
          <t>Strong capability; minor gaps only</t>
        </is>
      </c>
    </row>
    <row r="8">
      <c r="A8" t="inlineStr">
        <is>
          <t>5</t>
        </is>
      </c>
      <c r="B8" t="inlineStr">
        <is>
          <t>Best-in-class / exceeds needs</t>
        </is>
      </c>
    </row>
    <row r="9">
      <c r="A9" t="inlineStr">
        <is>
          <t>Must-have pass threshold</t>
        </is>
      </c>
      <c r="B9" t="inlineStr">
        <is>
          <t>Minimum score a must-have must meet</t>
        </is>
      </c>
    </row>
    <row r="10">
      <c r="A10" t="inlineStr">
        <is>
          <t>Default must-have threshold</t>
        </is>
      </c>
      <c r="B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Vendor</t>
        </is>
      </c>
      <c r="B1" s="1" t="inlineStr">
        <is>
          <t>Total Weight (auto)</t>
        </is>
      </c>
      <c r="C1" s="1" t="inlineStr">
        <is>
          <t>Weighted Score (auto)</t>
        </is>
      </c>
      <c r="D1" s="1" t="inlineStr">
        <is>
          <t>Normalized Score % (auto)</t>
        </is>
      </c>
      <c r="E1" s="1" t="inlineStr">
        <is>
          <t>Must-Have Pass? (auto)</t>
        </is>
      </c>
    </row>
    <row r="2">
      <c r="A2" t="inlineStr">
        <is>
          <t>Vendor A</t>
        </is>
      </c>
      <c r="B2" s="2">
        <f>SUM(Checklist!F2:F33)</f>
        <v/>
      </c>
      <c r="C2" s="2">
        <f>SUMPRODUCT(Checklist!F2:F33,Checklist!K2:K33)</f>
        <v/>
      </c>
      <c r="D2" s="3">
        <f>IFERROR(C2/B2*100,0)</f>
        <v/>
      </c>
      <c r="E2">
        <f>IF(COUNTIFS(Checklist!E2:E33,"Yes",Checklist!K2:K33,"&lt;"&amp;Rubric!B9)&gt;0,"FAIL","PASS")</f>
        <v/>
      </c>
    </row>
    <row r="3">
      <c r="A3" t="inlineStr">
        <is>
          <t>Vendor B</t>
        </is>
      </c>
      <c r="B3" s="2">
        <f>SUM(Checklist!F2:F33)</f>
        <v/>
      </c>
      <c r="C3" s="2">
        <f>SUMPRODUCT(Checklist!F2:F33,Checklist!L2:L33)</f>
        <v/>
      </c>
      <c r="D3" s="3">
        <f>IFERROR(C3/B3*100,0)</f>
        <v/>
      </c>
      <c r="E3">
        <f>IF(COUNTIFS(Checklist!E2:E33,"Yes",Checklist!L2:L33,"&lt;"&amp;Rubric!B9)&gt;0,"FAIL","PASS")</f>
        <v/>
      </c>
    </row>
    <row r="4">
      <c r="A4" t="inlineStr">
        <is>
          <t>Vendor C</t>
        </is>
      </c>
      <c r="B4" s="2">
        <f>SUM(Checklist!F2:F33)</f>
        <v/>
      </c>
      <c r="C4" s="2">
        <f>SUMPRODUCT(Checklist!F2:F33,Checklist!M2:M33)</f>
        <v/>
      </c>
      <c r="D4" s="3">
        <f>IFERROR(C4/B4*100,0)</f>
        <v/>
      </c>
      <c r="E4">
        <f>IF(COUNTIFS(Checklist!E2:E33,"Yes",Checklist!M2:M33,"&lt;"&amp;Rubric!B9)&gt;0,"FAIL","PASS")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</t>
        </is>
      </c>
    </row>
    <row r="2">
      <c r="A2" t="inlineStr">
        <is>
          <t>Fill in Must-Have as Yes/No, adjust Weight (default 1).</t>
        </is>
      </c>
    </row>
    <row r="3">
      <c r="A3" t="inlineStr">
        <is>
          <t>Enter 0–5 in Score columns for each vendor.</t>
        </is>
      </c>
    </row>
    <row r="4">
      <c r="A4" t="inlineStr">
        <is>
          <t>Review the Rubric sheet for scoring guidance and set the must-have threshold.</t>
        </is>
      </c>
    </row>
    <row r="5">
      <c r="A5" t="inlineStr">
        <is>
          <t>See Rollup for automatic totals and pass/fail on must-haves.</t>
        </is>
      </c>
    </row>
    <row r="6">
      <c r="A6" t="inlineStr">
        <is>
          <t>You can rename vendors directly in the Rollup sheet cells A2:A4.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2025-08-17T21:33:47Z</dcterms:created>
  <dcterms:modified xmlns:dcterms="http://purl.org/dc/terms/" xmlns:xsi="http://www.w3.org/2001/XMLSchema-instance" xsi:type="dcterms:W3CDTF">2025-08-17T21:33:47Z</dcterms:modified>
</cp:coreProperties>
</file>