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ns1:id="rId1"/>
    <sheet name="Rubric" sheetId="2" state="visible" ns1:id="rId2"/>
    <sheet name="Rollup" sheetId="3" state="visible" ns1:id="rId3"/>
    <sheet name="Instructions" sheetId="4" state="visible" ns1:id="rId4"/>
  </sheets>
  <definedNames>
    <definedName name="_xlnm._FilterDatabase" localSheetId="0" hidden="1">'Checklist'!$A$1:$S$41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 s="1">
        <is>
          <t>ID</t>
        </is>
      </c>
      <c r="B1" t="inlineStr" s="1">
        <is>
          <t>Category</t>
        </is>
      </c>
      <c r="C1" t="inlineStr" s="1">
        <is>
          <t>Criterion</t>
        </is>
      </c>
      <c r="D1" t="inlineStr" s="1">
        <is>
          <t>Description</t>
        </is>
      </c>
      <c r="E1" t="inlineStr" s="1">
        <is>
          <t>Must-Have</t>
        </is>
      </c>
      <c r="F1" t="inlineStr" s="1">
        <is>
          <t>Weight</t>
        </is>
      </c>
      <c r="G1" t="inlineStr" s="1">
        <is>
          <t>Category Weight</t>
        </is>
      </c>
      <c r="H1" t="inlineStr" s="1">
        <is>
          <t>Criterion Weight</t>
        </is>
      </c>
      <c r="I1" t="inlineStr" s="1">
        <is>
          <t>Effective Weight</t>
        </is>
      </c>
      <c r="J1" t="inlineStr" s="1">
        <is>
          <t>Evidence/Notes</t>
        </is>
      </c>
      <c r="K1" t="inlineStr" s="1">
        <is>
          <t>Data Source</t>
        </is>
      </c>
      <c r="L1" t="inlineStr" s="1">
        <is>
          <t>Reviewer</t>
        </is>
      </c>
      <c r="M1" t="inlineStr" s="1">
        <is>
          <t>Date</t>
        </is>
      </c>
      <c r="N1" t="inlineStr" s="1">
        <is>
          <t>Score - Vendor A</t>
        </is>
      </c>
      <c r="O1" t="inlineStr" s="1">
        <is>
          <t>Score - Vendor B</t>
        </is>
      </c>
      <c r="P1" t="inlineStr" s="1">
        <is>
          <t>Score - Vendor C</t>
        </is>
      </c>
      <c r="Q1" t="inlineStr" s="1">
        <is>
          <t>Weighted Points - Vendor A</t>
        </is>
      </c>
      <c r="R1" t="inlineStr" s="1">
        <is>
          <t>Weighted Points - Vendor B</t>
        </is>
      </c>
      <c r="S1" t="inlineStr" s="1">
        <is>
          <t>Weighted Points - Vendor C</t>
        </is>
      </c>
    </row>
    <row r="2">
      <c r="A2" t="inlineStr">
        <is>
          <t>C01</t>
        </is>
      </c>
      <c r="B2" t="inlineStr">
        <is>
          <t>Technical Capabilities</t>
        </is>
      </c>
      <c r="C2" t="inlineStr">
        <is>
          <t>Modality support</t>
        </is>
      </c>
      <c r="D2" t="inlineStr">
        <is>
          <t>High-quality inline, chat, and agent modes; seamless switching.</t>
        </is>
      </c>
      <c r="F2" t="n">
        <v>1</v>
      </c>
      <c r="G2" t="n">
        <v>1</v>
      </c>
      <c r="H2" t="n">
        <v>1</v>
      </c>
      <c r="I2">
        <f>G2*H2</f>
        <v/>
      </c>
      <c r="Q2">
        <f>IFERROR(I2*N2,0)</f>
        <v/>
      </c>
      <c r="R2">
        <f>IFERROR(I2*O2,0)</f>
        <v/>
      </c>
      <c r="S2">
        <f>IFERROR(I2*P2,0)</f>
        <v/>
      </c>
      <c r="E2" t="inlineStr">
        <is>
          <t>Yes</t>
        </is>
      </c>
      <c r="N2" t="n">
        <v>4</v>
      </c>
      <c r="O2" t="n">
        <v>4</v>
      </c>
      <c r="P2" t="n">
        <v>4</v>
      </c>
    </row>
    <row r="3">
      <c r="A3" t="inlineStr">
        <is>
          <t>C02</t>
        </is>
      </c>
      <c r="B3" t="inlineStr">
        <is>
          <t>Technical Capabilities</t>
        </is>
      </c>
      <c r="C3" t="inlineStr">
        <is>
          <t>Model support</t>
        </is>
      </c>
      <c r="D3" t="inlineStr">
        <is>
          <t>Multi-model routing (speed/reasoning/long-context), clear updates, BYOM/on-prem options.</t>
        </is>
      </c>
      <c r="F3" t="n">
        <v>1</v>
      </c>
      <c r="G3" t="n">
        <v>1</v>
      </c>
      <c r="H3" t="n">
        <v>1</v>
      </c>
      <c r="I3">
        <f>G3*H3</f>
        <v/>
      </c>
      <c r="Q3">
        <f>IFERROR(I3*N3,0)</f>
        <v/>
      </c>
      <c r="R3">
        <f>IFERROR(I3*O3,0)</f>
        <v/>
      </c>
      <c r="S3">
        <f>IFERROR(I3*P3,0)</f>
        <v/>
      </c>
      <c r="E3" t="inlineStr">
        <is>
          <t>No</t>
        </is>
      </c>
      <c r="N3" t="n">
        <v>4</v>
      </c>
      <c r="O3" t="n">
        <v>4</v>
      </c>
      <c r="P3" t="n">
        <v>4</v>
      </c>
    </row>
    <row r="4">
      <c r="A4" t="inlineStr">
        <is>
          <t>C03</t>
        </is>
      </c>
      <c r="B4" t="inlineStr">
        <is>
          <t>Technical Capabilities</t>
        </is>
      </c>
      <c r="C4" t="inlineStr">
        <is>
          <t>Prompt / instruction customization</t>
        </is>
      </c>
      <c r="D4" t="inlineStr">
        <is>
          <t>Org/repo/system prompts; policy prompts; redaction rules and stop-lists.</t>
        </is>
      </c>
      <c r="F4" t="n">
        <v>1</v>
      </c>
      <c r="G4" t="n">
        <v>1</v>
      </c>
      <c r="H4" t="n">
        <v>1</v>
      </c>
      <c r="I4">
        <f>G4*H4</f>
        <v/>
      </c>
      <c r="Q4">
        <f>IFERROR(I4*N4,0)</f>
        <v/>
      </c>
      <c r="R4">
        <f>IFERROR(I4*O4,0)</f>
        <v/>
      </c>
      <c r="S4">
        <f>IFERROR(I4*P4,0)</f>
        <v/>
      </c>
      <c r="E4" t="inlineStr">
        <is>
          <t>No</t>
        </is>
      </c>
      <c r="N4" t="n">
        <v>4</v>
      </c>
      <c r="O4" t="n">
        <v>4</v>
      </c>
      <c r="P4" t="n">
        <v>4</v>
      </c>
    </row>
    <row r="5">
      <c r="A5" t="inlineStr">
        <is>
          <t>C04</t>
        </is>
      </c>
      <c r="B5" t="inlineStr">
        <is>
          <t>Technical Capabilities</t>
        </is>
      </c>
      <c r="C5" t="inlineStr">
        <is>
          <t>Context awareness &amp; intelligence</t>
        </is>
      </c>
      <c r="D5" t="inlineStr">
        <is>
          <t>Repo-aware context across monorepos; code-graph retrieval; cross-file understanding.</t>
        </is>
      </c>
      <c r="F5" t="n">
        <v>1</v>
      </c>
      <c r="G5" t="n">
        <v>1</v>
      </c>
      <c r="H5" t="n">
        <v>1</v>
      </c>
      <c r="I5">
        <f>G5*H5</f>
        <v/>
      </c>
      <c r="Q5">
        <f>IFERROR(I5*N5,0)</f>
        <v/>
      </c>
      <c r="R5">
        <f>IFERROR(I5*O5,0)</f>
        <v/>
      </c>
      <c r="S5">
        <f>IFERROR(I5*P5,0)</f>
        <v/>
      </c>
      <c r="E5" t="inlineStr">
        <is>
          <t>No</t>
        </is>
      </c>
      <c r="N5" t="n">
        <v>4</v>
      </c>
      <c r="O5" t="n">
        <v>4</v>
      </c>
      <c r="P5" t="n">
        <v>4</v>
      </c>
    </row>
    <row r="6">
      <c r="A6" t="inlineStr">
        <is>
          <t>C05</t>
        </is>
      </c>
      <c r="B6" t="inlineStr">
        <is>
          <t>Technical Capabilities</t>
        </is>
      </c>
      <c r="C6" t="inlineStr">
        <is>
          <t>Agentic actions with guardrails</t>
        </is>
      </c>
      <c r="D6" t="inlineStr">
        <is>
          <t>Plan/execute refactors, test generation, migrations with dry-run/PR-only and approvals.</t>
        </is>
      </c>
      <c r="F6" t="n">
        <v>1</v>
      </c>
      <c r="G6" t="n">
        <v>1</v>
      </c>
      <c r="H6" t="n">
        <v>1</v>
      </c>
      <c r="I6">
        <f>G6*H6</f>
        <v/>
      </c>
      <c r="Q6">
        <f>IFERROR(I6*N6,0)</f>
        <v/>
      </c>
      <c r="R6">
        <f>IFERROR(I6*O6,0)</f>
        <v/>
      </c>
      <c r="S6">
        <f>IFERROR(I6*P6,0)</f>
        <v/>
      </c>
      <c r="E6" t="inlineStr">
        <is>
          <t>No</t>
        </is>
      </c>
      <c r="N6" t="n">
        <v>4</v>
      </c>
      <c r="O6" t="n">
        <v>4</v>
      </c>
      <c r="P6" t="n">
        <v>4</v>
      </c>
    </row>
    <row r="7">
      <c r="A7" t="inlineStr">
        <is>
          <t>C06</t>
        </is>
      </c>
      <c r="B7" t="inlineStr">
        <is>
          <t>Technical Capabilities</t>
        </is>
      </c>
      <c r="C7" t="inlineStr">
        <is>
          <t>Latency &amp; reliability</t>
        </is>
      </c>
      <c r="D7" t="inlineStr">
        <is>
          <t>Sub-200ms inline suggestions; stable chat; offline/air-gapped options; published SLOs.</t>
        </is>
      </c>
      <c r="F7" t="n">
        <v>1</v>
      </c>
      <c r="G7" t="n">
        <v>1</v>
      </c>
      <c r="H7" t="n">
        <v>1</v>
      </c>
      <c r="I7">
        <f>G7*H7</f>
        <v/>
      </c>
      <c r="Q7">
        <f>IFERROR(I7*N7,0)</f>
        <v/>
      </c>
      <c r="R7">
        <f>IFERROR(I7*O7,0)</f>
        <v/>
      </c>
      <c r="S7">
        <f>IFERROR(I7*P7,0)</f>
        <v/>
      </c>
      <c r="E7" t="inlineStr">
        <is>
          <t>No</t>
        </is>
      </c>
      <c r="N7" t="n">
        <v>4</v>
      </c>
      <c r="O7" t="n">
        <v>4</v>
      </c>
      <c r="P7" t="n">
        <v>4</v>
      </c>
    </row>
    <row r="8">
      <c r="A8" t="inlineStr">
        <is>
          <t>C07</t>
        </is>
      </c>
      <c r="B8" t="inlineStr">
        <is>
          <t>Code Quality &amp; Safety</t>
        </is>
      </c>
      <c r="C8" t="inlineStr">
        <is>
          <t>Accuracy &amp; relevance</t>
        </is>
      </c>
      <c r="D8" t="inlineStr">
        <is>
          <t>Demonstrated correctness on representative tasks and stacks.</t>
        </is>
      </c>
      <c r="F8" t="n">
        <v>1</v>
      </c>
      <c r="G8" t="n">
        <v>1</v>
      </c>
      <c r="H8" t="n">
        <v>1</v>
      </c>
      <c r="I8">
        <f>G8*H8</f>
        <v/>
      </c>
      <c r="Q8">
        <f>IFERROR(I8*N8,0)</f>
        <v/>
      </c>
      <c r="R8">
        <f>IFERROR(I8*O8,0)</f>
        <v/>
      </c>
      <c r="S8">
        <f>IFERROR(I8*P8,0)</f>
        <v/>
      </c>
      <c r="E8" t="inlineStr">
        <is>
          <t>No</t>
        </is>
      </c>
      <c r="N8" t="n">
        <v>4</v>
      </c>
      <c r="O8" t="n">
        <v>4</v>
      </c>
      <c r="P8" t="n">
        <v>4</v>
      </c>
    </row>
    <row r="9">
      <c r="A9" t="inlineStr">
        <is>
          <t>C08</t>
        </is>
      </c>
      <c r="B9" t="inlineStr">
        <is>
          <t>Code Quality &amp; Safety</t>
        </is>
      </c>
      <c r="C9" t="inlineStr">
        <is>
          <t>Security practices</t>
        </is>
      </c>
      <c r="D9" t="inlineStr">
        <is>
          <t>Secret-leak prevention; vulnerability hints; OWASP alignment; license/OSS policy awareness.</t>
        </is>
      </c>
      <c r="F9" t="n">
        <v>1</v>
      </c>
      <c r="G9" t="n">
        <v>1</v>
      </c>
      <c r="H9" t="n">
        <v>1</v>
      </c>
      <c r="I9">
        <f>G9*H9</f>
        <v/>
      </c>
      <c r="Q9">
        <f>IFERROR(I9*N9,0)</f>
        <v/>
      </c>
      <c r="R9">
        <f>IFERROR(I9*O9,0)</f>
        <v/>
      </c>
      <c r="S9">
        <f>IFERROR(I9*P9,0)</f>
        <v/>
      </c>
      <c r="E9" t="inlineStr">
        <is>
          <t>Yes</t>
        </is>
      </c>
      <c r="N9" t="n">
        <v>4</v>
      </c>
      <c r="O9" t="n">
        <v>4</v>
      </c>
      <c r="P9" t="n">
        <v>4</v>
      </c>
    </row>
    <row r="10">
      <c r="A10" t="inlineStr">
        <is>
          <t>C09</t>
        </is>
      </c>
      <c r="B10" t="inlineStr">
        <is>
          <t>Code Quality &amp; Safety</t>
        </is>
      </c>
      <c r="C10" t="inlineStr">
        <is>
          <t>Code augmentation with your codebase</t>
        </is>
      </c>
      <c r="D10" t="inlineStr">
        <is>
          <t>Produces idiomatic diffs; respects conventions and patterns.</t>
        </is>
      </c>
      <c r="F10" t="n">
        <v>1</v>
      </c>
      <c r="G10" t="n">
        <v>1</v>
      </c>
      <c r="H10" t="n">
        <v>1</v>
      </c>
      <c r="I10">
        <f>G10*H10</f>
        <v/>
      </c>
      <c r="Q10">
        <f>IFERROR(I10*N10,0)</f>
        <v/>
      </c>
      <c r="R10">
        <f>IFERROR(I10*O10,0)</f>
        <v/>
      </c>
      <c r="S10">
        <f>IFERROR(I10*P10,0)</f>
        <v/>
      </c>
      <c r="E10" t="inlineStr">
        <is>
          <t>No</t>
        </is>
      </c>
      <c r="N10" t="n">
        <v>4</v>
      </c>
      <c r="O10" t="n">
        <v>4</v>
      </c>
      <c r="P10" t="n">
        <v>4</v>
      </c>
    </row>
    <row r="11">
      <c r="A11" t="inlineStr">
        <is>
          <t>C10</t>
        </is>
      </c>
      <c r="B11" t="inlineStr">
        <is>
          <t>Code Quality &amp; Safety</t>
        </is>
      </c>
      <c r="C11" t="inlineStr">
        <is>
          <t>Testability &amp; correctness</t>
        </is>
      </c>
      <c r="D11" t="inlineStr">
        <is>
          <t>Run unit tests on proposed changes; regenerate on failure; supports snapshot/approval tests.</t>
        </is>
      </c>
      <c r="F11" t="n">
        <v>1</v>
      </c>
      <c r="G11" t="n">
        <v>1</v>
      </c>
      <c r="H11" t="n">
        <v>1</v>
      </c>
      <c r="I11">
        <f>G11*H11</f>
        <v/>
      </c>
      <c r="Q11">
        <f>IFERROR(I11*N11,0)</f>
        <v/>
      </c>
      <c r="R11">
        <f>IFERROR(I11*O11,0)</f>
        <v/>
      </c>
      <c r="S11">
        <f>IFERROR(I11*P11,0)</f>
        <v/>
      </c>
      <c r="E11" t="inlineStr">
        <is>
          <t>No</t>
        </is>
      </c>
      <c r="N11" t="n">
        <v>4</v>
      </c>
      <c r="O11" t="n">
        <v>4</v>
      </c>
      <c r="P11" t="n">
        <v>4</v>
      </c>
    </row>
    <row r="12">
      <c r="A12" t="inlineStr">
        <is>
          <t>C11</t>
        </is>
      </c>
      <c r="B12" t="inlineStr">
        <is>
          <t>Code Quality &amp; Safety</t>
        </is>
      </c>
      <c r="C12" t="inlineStr">
        <is>
          <t>Maintainability checks</t>
        </is>
      </c>
      <c r="D12" t="inlineStr">
        <is>
          <t>Complexity deltas, dependency hygiene, style compliance; minimal diffs.</t>
        </is>
      </c>
      <c r="F12" t="n">
        <v>1</v>
      </c>
      <c r="G12" t="n">
        <v>1</v>
      </c>
      <c r="H12" t="n">
        <v>1</v>
      </c>
      <c r="I12">
        <f>G12*H12</f>
        <v/>
      </c>
      <c r="Q12">
        <f>IFERROR(I12*N12,0)</f>
        <v/>
      </c>
      <c r="R12">
        <f>IFERROR(I12*O12,0)</f>
        <v/>
      </c>
      <c r="S12">
        <f>IFERROR(I12*P12,0)</f>
        <v/>
      </c>
      <c r="E12" t="inlineStr">
        <is>
          <t>No</t>
        </is>
      </c>
      <c r="N12" t="n">
        <v>4</v>
      </c>
      <c r="O12" t="n">
        <v>4</v>
      </c>
      <c r="P12" t="n">
        <v>4</v>
      </c>
    </row>
    <row r="13">
      <c r="A13" t="inlineStr">
        <is>
          <t>C12</t>
        </is>
      </c>
      <c r="B13" t="inlineStr">
        <is>
          <t>Code Quality &amp; Safety</t>
        </is>
      </c>
      <c r="C13" t="inlineStr">
        <is>
          <t>Provenance &amp; attribution</t>
        </is>
      </c>
      <c r="D13" t="inlineStr">
        <is>
          <t>Flags AI-generated diffs; trace prompts/models/actions for audits.</t>
        </is>
      </c>
      <c r="F13" t="n">
        <v>1</v>
      </c>
      <c r="G13" t="n">
        <v>1</v>
      </c>
      <c r="H13" t="n">
        <v>1</v>
      </c>
      <c r="I13">
        <f>G13*H13</f>
        <v/>
      </c>
      <c r="Q13">
        <f>IFERROR(I13*N13,0)</f>
        <v/>
      </c>
      <c r="R13">
        <f>IFERROR(I13*O13,0)</f>
        <v/>
      </c>
      <c r="S13">
        <f>IFERROR(I13*P13,0)</f>
        <v/>
      </c>
      <c r="E13" t="inlineStr">
        <is>
          <t>No</t>
        </is>
      </c>
      <c r="N13" t="n">
        <v>4</v>
      </c>
      <c r="O13" t="n">
        <v>4</v>
      </c>
      <c r="P13" t="n">
        <v>4</v>
      </c>
    </row>
    <row r="14">
      <c r="A14" t="inlineStr">
        <is>
          <t>C13</t>
        </is>
      </c>
      <c r="B14" t="inlineStr">
        <is>
          <t>Integration &amp; Workflow</t>
        </is>
      </c>
      <c r="C14" t="inlineStr">
        <is>
          <t>Cross-IDE support</t>
        </is>
      </c>
      <c r="D14" t="inlineStr">
        <is>
          <t>First-class JetBrains and VS Code support across key languages.</t>
        </is>
      </c>
      <c r="F14" t="n">
        <v>1</v>
      </c>
      <c r="G14" t="n">
        <v>1</v>
      </c>
      <c r="H14" t="n">
        <v>1</v>
      </c>
      <c r="I14">
        <f>G14*H14</f>
        <v/>
      </c>
      <c r="Q14">
        <f>IFERROR(I14*N14,0)</f>
        <v/>
      </c>
      <c r="R14">
        <f>IFERROR(I14*O14,0)</f>
        <v/>
      </c>
      <c r="S14">
        <f>IFERROR(I14*P14,0)</f>
        <v/>
      </c>
      <c r="E14" t="inlineStr">
        <is>
          <t>No</t>
        </is>
      </c>
      <c r="N14" t="n">
        <v>4</v>
      </c>
      <c r="O14" t="n">
        <v>4</v>
      </c>
      <c r="P14" t="n">
        <v>4</v>
      </c>
    </row>
    <row r="15">
      <c r="A15" t="inlineStr">
        <is>
          <t>C14</t>
        </is>
      </c>
      <c r="B15" t="inlineStr">
        <is>
          <t>Integration &amp; Workflow</t>
        </is>
      </c>
      <c r="C15" t="inlineStr">
        <is>
          <t>Workflow impact</t>
        </is>
      </c>
      <c r="D15" t="inlineStr">
        <is>
          <t>Fits SDLC, branch policies, reviews, and pair-programming practices.</t>
        </is>
      </c>
      <c r="F15" t="n">
        <v>1</v>
      </c>
      <c r="G15" t="n">
        <v>1</v>
      </c>
      <c r="H15" t="n">
        <v>1</v>
      </c>
      <c r="I15">
        <f>G15*H15</f>
        <v/>
      </c>
      <c r="Q15">
        <f>IFERROR(I15*N15,0)</f>
        <v/>
      </c>
      <c r="R15">
        <f>IFERROR(I15*O15,0)</f>
        <v/>
      </c>
      <c r="S15">
        <f>IFERROR(I15*P15,0)</f>
        <v/>
      </c>
      <c r="E15" t="inlineStr">
        <is>
          <t>No</t>
        </is>
      </c>
      <c r="N15" t="n">
        <v>4</v>
      </c>
      <c r="O15" t="n">
        <v>4</v>
      </c>
      <c r="P15" t="n">
        <v>4</v>
      </c>
    </row>
    <row r="16">
      <c r="A16" t="inlineStr">
        <is>
          <t>C15</t>
        </is>
      </c>
      <c r="B16" t="inlineStr">
        <is>
          <t>Integration &amp; Workflow</t>
        </is>
      </c>
      <c r="C16" t="inlineStr">
        <is>
          <t>PR &amp; CI integration</t>
        </is>
      </c>
      <c r="D16" t="inlineStr">
        <is>
          <t>Review bots, test execution, quality gate hooks; suggest vs auto-commit modes.</t>
        </is>
      </c>
      <c r="F16" t="n">
        <v>1</v>
      </c>
      <c r="G16" t="n">
        <v>1</v>
      </c>
      <c r="H16" t="n">
        <v>1</v>
      </c>
      <c r="I16">
        <f>G16*H16</f>
        <v/>
      </c>
      <c r="Q16">
        <f>IFERROR(I16*N16,0)</f>
        <v/>
      </c>
      <c r="R16">
        <f>IFERROR(I16*O16,0)</f>
        <v/>
      </c>
      <c r="S16">
        <f>IFERROR(I16*P16,0)</f>
        <v/>
      </c>
      <c r="E16" t="inlineStr">
        <is>
          <t>No</t>
        </is>
      </c>
      <c r="N16" t="n">
        <v>4</v>
      </c>
      <c r="O16" t="n">
        <v>4</v>
      </c>
      <c r="P16" t="n">
        <v>4</v>
      </c>
    </row>
    <row r="17">
      <c r="A17" t="inlineStr">
        <is>
          <t>C16</t>
        </is>
      </c>
      <c r="B17" t="inlineStr">
        <is>
          <t>Integration &amp; Workflow</t>
        </is>
      </c>
      <c r="C17" t="inlineStr">
        <is>
          <t>CLI &amp; API</t>
        </is>
      </c>
      <c r="D17" t="inlineStr">
        <is>
          <t>Scriptable codemods, bulk refactors, and webhooks/events for automation.</t>
        </is>
      </c>
      <c r="F17" t="n">
        <v>1</v>
      </c>
      <c r="G17" t="n">
        <v>1</v>
      </c>
      <c r="H17" t="n">
        <v>1</v>
      </c>
      <c r="I17">
        <f>G17*H17</f>
        <v/>
      </c>
      <c r="Q17">
        <f>IFERROR(I17*N17,0)</f>
        <v/>
      </c>
      <c r="R17">
        <f>IFERROR(I17*O17,0)</f>
        <v/>
      </c>
      <c r="S17">
        <f>IFERROR(I17*P17,0)</f>
        <v/>
      </c>
      <c r="E17" t="inlineStr">
        <is>
          <t>No</t>
        </is>
      </c>
      <c r="N17" t="n">
        <v>4</v>
      </c>
      <c r="O17" t="n">
        <v>4</v>
      </c>
      <c r="P17" t="n">
        <v>4</v>
      </c>
    </row>
    <row r="18">
      <c r="A18" t="inlineStr">
        <is>
          <t>C17</t>
        </is>
      </c>
      <c r="B18" t="inlineStr">
        <is>
          <t>Integration &amp; Workflow</t>
        </is>
      </c>
      <c r="C18" t="inlineStr">
        <is>
          <t>Observability</t>
        </is>
      </c>
      <c r="D18" t="inlineStr">
        <is>
          <t>Per-team dashboards, A/B flags, analytics export, privacy-aware logging.</t>
        </is>
      </c>
      <c r="F18" t="n">
        <v>1</v>
      </c>
      <c r="G18" t="n">
        <v>1</v>
      </c>
      <c r="H18" t="n">
        <v>1</v>
      </c>
      <c r="I18">
        <f>G18*H18</f>
        <v/>
      </c>
      <c r="Q18">
        <f>IFERROR(I18*N18,0)</f>
        <v/>
      </c>
      <c r="R18">
        <f>IFERROR(I18*O18,0)</f>
        <v/>
      </c>
      <c r="S18">
        <f>IFERROR(I18*P18,0)</f>
        <v/>
      </c>
      <c r="E18" t="inlineStr">
        <is>
          <t>No</t>
        </is>
      </c>
      <c r="N18" t="n">
        <v>4</v>
      </c>
      <c r="O18" t="n">
        <v>4</v>
      </c>
      <c r="P18" t="n">
        <v>4</v>
      </c>
    </row>
    <row r="19">
      <c r="A19" t="inlineStr">
        <is>
          <t>C18</t>
        </is>
      </c>
      <c r="B19" t="inlineStr">
        <is>
          <t>Measurement &amp; Value</t>
        </is>
      </c>
      <c r="C19" t="inlineStr">
        <is>
          <t>Outcome metrics</t>
        </is>
      </c>
      <c r="D19" t="inlineStr">
        <is>
          <t>PR cycle time, time-to-change, defect escape rate, MTTR, incidents.</t>
        </is>
      </c>
      <c r="F19" t="n">
        <v>1</v>
      </c>
      <c r="G19" t="n">
        <v>1</v>
      </c>
      <c r="H19" t="n">
        <v>1</v>
      </c>
      <c r="I19">
        <f>G19*H19</f>
        <v/>
      </c>
      <c r="Q19">
        <f>IFERROR(I19*N19,0)</f>
        <v/>
      </c>
      <c r="R19">
        <f>IFERROR(I19*O19,0)</f>
        <v/>
      </c>
      <c r="S19">
        <f>IFERROR(I19*P19,0)</f>
        <v/>
      </c>
      <c r="E19" t="inlineStr">
        <is>
          <t>No</t>
        </is>
      </c>
      <c r="N19" t="n">
        <v>4</v>
      </c>
      <c r="O19" t="n">
        <v>4</v>
      </c>
      <c r="P19" t="n">
        <v>4</v>
      </c>
    </row>
    <row r="20">
      <c r="A20" t="inlineStr">
        <is>
          <t>C19</t>
        </is>
      </c>
      <c r="B20" t="inlineStr">
        <is>
          <t>Measurement &amp; Value</t>
        </is>
      </c>
      <c r="C20" t="inlineStr">
        <is>
          <t>Adoption metrics</t>
        </is>
      </c>
      <c r="D20" t="inlineStr">
        <is>
          <t>Active seats, acceptance by repo/language, assisted tests per PR, agentic tasks.</t>
        </is>
      </c>
      <c r="F20" t="n">
        <v>1</v>
      </c>
      <c r="G20" t="n">
        <v>1</v>
      </c>
      <c r="H20" t="n">
        <v>1</v>
      </c>
      <c r="I20">
        <f>G20*H20</f>
        <v/>
      </c>
      <c r="Q20">
        <f>IFERROR(I20*N20,0)</f>
        <v/>
      </c>
      <c r="R20">
        <f>IFERROR(I20*O20,0)</f>
        <v/>
      </c>
      <c r="S20">
        <f>IFERROR(I20*P20,0)</f>
        <v/>
      </c>
      <c r="E20" t="inlineStr">
        <is>
          <t>No</t>
        </is>
      </c>
      <c r="N20" t="n">
        <v>4</v>
      </c>
      <c r="O20" t="n">
        <v>4</v>
      </c>
      <c r="P20" t="n">
        <v>4</v>
      </c>
    </row>
    <row r="21">
      <c r="A21" t="inlineStr">
        <is>
          <t>C20</t>
        </is>
      </c>
      <c r="B21" t="inlineStr">
        <is>
          <t>Measurement &amp; Value</t>
        </is>
      </c>
      <c r="C21" t="inlineStr">
        <is>
          <t>Quality metrics</t>
        </is>
      </c>
      <c r="D21" t="inlineStr">
        <is>
          <t>Post-merge rework %, flaky-test delta, security finding trends.</t>
        </is>
      </c>
      <c r="F21" t="n">
        <v>1</v>
      </c>
      <c r="G21" t="n">
        <v>1</v>
      </c>
      <c r="H21" t="n">
        <v>1</v>
      </c>
      <c r="I21">
        <f>G21*H21</f>
        <v/>
      </c>
      <c r="Q21">
        <f>IFERROR(I21*N21,0)</f>
        <v/>
      </c>
      <c r="R21">
        <f>IFERROR(I21*O21,0)</f>
        <v/>
      </c>
      <c r="S21">
        <f>IFERROR(I21*P21,0)</f>
        <v/>
      </c>
      <c r="E21" t="inlineStr">
        <is>
          <t>No</t>
        </is>
      </c>
      <c r="N21" t="n">
        <v>4</v>
      </c>
      <c r="O21" t="n">
        <v>4</v>
      </c>
      <c r="P21" t="n">
        <v>4</v>
      </c>
    </row>
    <row r="22">
      <c r="A22" t="inlineStr">
        <is>
          <t>C21</t>
        </is>
      </c>
      <c r="B22" t="inlineStr">
        <is>
          <t>Measurement &amp; Value</t>
        </is>
      </c>
      <c r="C22" t="inlineStr">
        <is>
          <t>Experiment design</t>
        </is>
      </c>
      <c r="D22" t="inlineStr">
        <is>
          <t>Cohorting, control vs treatment, feature flags for clean comparisons.</t>
        </is>
      </c>
      <c r="F22" t="n">
        <v>1</v>
      </c>
      <c r="G22" t="n">
        <v>1</v>
      </c>
      <c r="H22" t="n">
        <v>1</v>
      </c>
      <c r="I22">
        <f>G22*H22</f>
        <v/>
      </c>
      <c r="Q22">
        <f>IFERROR(I22*N22,0)</f>
        <v/>
      </c>
      <c r="R22">
        <f>IFERROR(I22*O22,0)</f>
        <v/>
      </c>
      <c r="S22">
        <f>IFERROR(I22*P22,0)</f>
        <v/>
      </c>
      <c r="E22" t="inlineStr">
        <is>
          <t>No</t>
        </is>
      </c>
      <c r="N22" t="n">
        <v>4</v>
      </c>
      <c r="O22" t="n">
        <v>3</v>
      </c>
      <c r="P22" t="n">
        <v>4</v>
      </c>
    </row>
    <row r="23">
      <c r="A23" t="inlineStr">
        <is>
          <t>C22</t>
        </is>
      </c>
      <c r="B23" t="inlineStr">
        <is>
          <t>Enterprise Readiness &amp; Governance</t>
        </is>
      </c>
      <c r="C23" t="inlineStr">
        <is>
          <t>Data security &amp; privacy</t>
        </is>
      </c>
      <c r="D23" t="inlineStr">
        <is>
          <t>No training on your code by default; residency; retention; VPC/private networking.</t>
        </is>
      </c>
      <c r="F23" t="n">
        <v>1</v>
      </c>
      <c r="G23" t="n">
        <v>1</v>
      </c>
      <c r="H23" t="n">
        <v>1</v>
      </c>
      <c r="I23">
        <f>G23*H23</f>
        <v/>
      </c>
      <c r="Q23">
        <f>IFERROR(I23*N23,0)</f>
        <v/>
      </c>
      <c r="R23">
        <f>IFERROR(I23*O23,0)</f>
        <v/>
      </c>
      <c r="S23">
        <f>IFERROR(I23*P23,0)</f>
        <v/>
      </c>
      <c r="E23" t="inlineStr">
        <is>
          <t>Yes</t>
        </is>
      </c>
      <c r="N23" t="n">
        <v>4</v>
      </c>
      <c r="O23" t="n">
        <v>3</v>
      </c>
      <c r="P23" t="n">
        <v>2</v>
      </c>
    </row>
    <row r="24">
      <c r="A24" t="inlineStr">
        <is>
          <t>C23</t>
        </is>
      </c>
      <c r="B24" t="inlineStr">
        <is>
          <t>Enterprise Readiness &amp; Governance</t>
        </is>
      </c>
      <c r="C24" t="inlineStr">
        <is>
          <t>Admin &amp; policy controls</t>
        </is>
      </c>
      <c r="D24" t="inlineStr">
        <is>
          <t>SSO/SCIM/RBAC; policy bundles; audit logs for prompts/outputs/actions.</t>
        </is>
      </c>
      <c r="F24" t="n">
        <v>1</v>
      </c>
      <c r="G24" t="n">
        <v>1</v>
      </c>
      <c r="H24" t="n">
        <v>1</v>
      </c>
      <c r="I24">
        <f>G24*H24</f>
        <v/>
      </c>
      <c r="Q24">
        <f>IFERROR(I24*N24,0)</f>
        <v/>
      </c>
      <c r="R24">
        <f>IFERROR(I24*O24,0)</f>
        <v/>
      </c>
      <c r="S24">
        <f>IFERROR(I24*P24,0)</f>
        <v/>
      </c>
      <c r="E24" t="inlineStr">
        <is>
          <t>No</t>
        </is>
      </c>
      <c r="N24" t="n">
        <v>4</v>
      </c>
      <c r="O24" t="n">
        <v>3</v>
      </c>
      <c r="P24" t="n">
        <v>4</v>
      </c>
    </row>
    <row r="25">
      <c r="A25" t="inlineStr">
        <is>
          <t>C24</t>
        </is>
      </c>
      <c r="B25" t="inlineStr">
        <is>
          <t>Enterprise Readiness &amp; Governance</t>
        </is>
      </c>
      <c r="C25" t="inlineStr">
        <is>
          <t>Compliance</t>
        </is>
      </c>
      <c r="D25" t="inlineStr">
        <is>
          <t>SOC 2/ISO 27001 evidence; audit artifacts; configurable redaction/logging.</t>
        </is>
      </c>
      <c r="F25" t="n">
        <v>1</v>
      </c>
      <c r="G25" t="n">
        <v>1</v>
      </c>
      <c r="H25" t="n">
        <v>1</v>
      </c>
      <c r="I25">
        <f>G25*H25</f>
        <v/>
      </c>
      <c r="Q25">
        <f>IFERROR(I25*N25,0)</f>
        <v/>
      </c>
      <c r="R25">
        <f>IFERROR(I25*O25,0)</f>
        <v/>
      </c>
      <c r="S25">
        <f>IFERROR(I25*P25,0)</f>
        <v/>
      </c>
      <c r="E25" t="inlineStr">
        <is>
          <t>No</t>
        </is>
      </c>
      <c r="N25" t="n">
        <v>4</v>
      </c>
      <c r="O25" t="n">
        <v>3</v>
      </c>
      <c r="P25" t="n">
        <v>4</v>
      </c>
    </row>
    <row r="26">
      <c r="A26" t="inlineStr">
        <is>
          <t>C25</t>
        </is>
      </c>
      <c r="B26" t="inlineStr">
        <is>
          <t>Cost &amp; Capacity Planning</t>
        </is>
      </c>
      <c r="C26" t="inlineStr">
        <is>
          <t>Licensing &amp; limits</t>
        </is>
      </c>
      <c r="D26" t="inlineStr">
        <is>
          <t>Clear seat/usage pricing and transparent rate limits.</t>
        </is>
      </c>
      <c r="F26" t="n">
        <v>1</v>
      </c>
      <c r="G26" t="n">
        <v>1</v>
      </c>
      <c r="H26" t="n">
        <v>1</v>
      </c>
      <c r="I26">
        <f>G26*H26</f>
        <v/>
      </c>
      <c r="Q26">
        <f>IFERROR(I26*N26,0)</f>
        <v/>
      </c>
      <c r="R26">
        <f>IFERROR(I26*O26,0)</f>
        <v/>
      </c>
      <c r="S26">
        <f>IFERROR(I26*P26,0)</f>
        <v/>
      </c>
      <c r="E26" t="inlineStr">
        <is>
          <t>No</t>
        </is>
      </c>
      <c r="N26" t="n">
        <v>4</v>
      </c>
      <c r="O26" t="n">
        <v>3</v>
      </c>
      <c r="P26" t="n">
        <v>4</v>
      </c>
    </row>
    <row r="27">
      <c r="A27" t="inlineStr">
        <is>
          <t>C26</t>
        </is>
      </c>
      <c r="B27" t="inlineStr">
        <is>
          <t>Cost &amp; Capacity Planning</t>
        </is>
      </c>
      <c r="C27" t="inlineStr">
        <is>
          <t>Controls &amp; governance of spend</t>
        </is>
      </c>
      <c r="D27" t="inlineStr">
        <is>
          <t>Per-team budgets/caps/alerts; burst protection; auto-throttle.</t>
        </is>
      </c>
      <c r="F27" t="n">
        <v>1</v>
      </c>
      <c r="G27" t="n">
        <v>1</v>
      </c>
      <c r="H27" t="n">
        <v>1</v>
      </c>
      <c r="I27">
        <f>G27*H27</f>
        <v/>
      </c>
      <c r="Q27">
        <f>IFERROR(I27*N27,0)</f>
        <v/>
      </c>
      <c r="R27">
        <f>IFERROR(I27*O27,0)</f>
        <v/>
      </c>
      <c r="S27">
        <f>IFERROR(I27*P27,0)</f>
        <v/>
      </c>
      <c r="E27" t="inlineStr">
        <is>
          <t>No</t>
        </is>
      </c>
      <c r="N27" t="n">
        <v>4</v>
      </c>
      <c r="O27" t="n">
        <v>3</v>
      </c>
      <c r="P27" t="n">
        <v>4</v>
      </c>
    </row>
    <row r="28">
      <c r="A28" t="inlineStr">
        <is>
          <t>C27</t>
        </is>
      </c>
      <c r="B28" t="inlineStr">
        <is>
          <t>Cost &amp; Capacity Planning</t>
        </is>
      </c>
      <c r="C28" t="inlineStr">
        <is>
          <t>Total cost of ownership</t>
        </is>
      </c>
      <c r="D28" t="inlineStr">
        <is>
          <t>Include enablement, security review, support SLAs, infra, and productivity deltas.</t>
        </is>
      </c>
      <c r="F28" t="n">
        <v>1</v>
      </c>
      <c r="G28" t="n">
        <v>1</v>
      </c>
      <c r="H28" t="n">
        <v>1</v>
      </c>
      <c r="I28">
        <f>G28*H28</f>
        <v/>
      </c>
      <c r="Q28">
        <f>IFERROR(I28*N28,0)</f>
        <v/>
      </c>
      <c r="R28">
        <f>IFERROR(I28*O28,0)</f>
        <v/>
      </c>
      <c r="S28">
        <f>IFERROR(I28*P28,0)</f>
        <v/>
      </c>
      <c r="E28" t="inlineStr">
        <is>
          <t>No</t>
        </is>
      </c>
      <c r="N28" t="n">
        <v>4</v>
      </c>
      <c r="O28" t="n">
        <v>3</v>
      </c>
      <c r="P28" t="n">
        <v>4</v>
      </c>
    </row>
    <row r="29">
      <c r="A29" t="inlineStr">
        <is>
          <t>C28</t>
        </is>
      </c>
      <c r="B29" t="inlineStr">
        <is>
          <t>Adoption &amp; Change Management</t>
        </is>
      </c>
      <c r="C29" t="inlineStr">
        <is>
          <t>Learning curve</t>
        </is>
      </c>
      <c r="D29" t="inlineStr">
        <is>
          <t>Time-to-effectiveness; documentation quality; role-targeted guidance.</t>
        </is>
      </c>
      <c r="F29" t="n">
        <v>1</v>
      </c>
      <c r="G29" t="n">
        <v>1</v>
      </c>
      <c r="H29" t="n">
        <v>1</v>
      </c>
      <c r="I29">
        <f>G29*H29</f>
        <v/>
      </c>
      <c r="Q29">
        <f>IFERROR(I29*N29,0)</f>
        <v/>
      </c>
      <c r="R29">
        <f>IFERROR(I29*O29,0)</f>
        <v/>
      </c>
      <c r="S29">
        <f>IFERROR(I29*P29,0)</f>
        <v/>
      </c>
      <c r="E29" t="inlineStr">
        <is>
          <t>No</t>
        </is>
      </c>
      <c r="N29" t="n">
        <v>4</v>
      </c>
      <c r="O29" t="n">
        <v>3</v>
      </c>
      <c r="P29" t="n">
        <v>4</v>
      </c>
    </row>
    <row r="30">
      <c r="A30" t="inlineStr">
        <is>
          <t>C29</t>
        </is>
      </c>
      <c r="B30" t="inlineStr">
        <is>
          <t>Adoption &amp; Change Management</t>
        </is>
      </c>
      <c r="C30" t="inlineStr">
        <is>
          <t>Developer adoption factors</t>
        </is>
      </c>
      <c r="D30" t="inlineStr">
        <is>
          <t>Team dynamics, resistance points, and fit with current practices.</t>
        </is>
      </c>
      <c r="F30" t="n">
        <v>1</v>
      </c>
      <c r="G30" t="n">
        <v>1</v>
      </c>
      <c r="H30" t="n">
        <v>1</v>
      </c>
      <c r="I30">
        <f>G30*H30</f>
        <v/>
      </c>
      <c r="Q30">
        <f>IFERROR(I30*N30,0)</f>
        <v/>
      </c>
      <c r="R30">
        <f>IFERROR(I30*O30,0)</f>
        <v/>
      </c>
      <c r="S30">
        <f>IFERROR(I30*P30,0)</f>
        <v/>
      </c>
      <c r="E30" t="inlineStr">
        <is>
          <t>No</t>
        </is>
      </c>
      <c r="N30" t="n">
        <v>4</v>
      </c>
      <c r="O30" t="n">
        <v>3</v>
      </c>
      <c r="P30" t="n">
        <v>4</v>
      </c>
    </row>
    <row r="31">
      <c r="A31" t="inlineStr">
        <is>
          <t>C30</t>
        </is>
      </c>
      <c r="B31" t="inlineStr">
        <is>
          <t>Adoption &amp; Change Management</t>
        </is>
      </c>
      <c r="C31" t="inlineStr">
        <is>
          <t>Enablement</t>
        </is>
      </c>
      <c r="D31" t="inlineStr">
        <is>
          <t>Quick-start playbooks, golden paths, office hours, exemplar repos.</t>
        </is>
      </c>
      <c r="F31" t="n">
        <v>1</v>
      </c>
      <c r="G31" t="n">
        <v>1</v>
      </c>
      <c r="H31" t="n">
        <v>1</v>
      </c>
      <c r="I31">
        <f>G31*H31</f>
        <v/>
      </c>
      <c r="Q31">
        <f>IFERROR(I31*N31,0)</f>
        <v/>
      </c>
      <c r="R31">
        <f>IFERROR(I31*O31,0)</f>
        <v/>
      </c>
      <c r="S31">
        <f>IFERROR(I31*P31,0)</f>
        <v/>
      </c>
      <c r="E31" t="inlineStr">
        <is>
          <t>No</t>
        </is>
      </c>
      <c r="N31" t="n">
        <v>4</v>
      </c>
      <c r="O31" t="n">
        <v>3</v>
      </c>
      <c r="P31" t="n">
        <v>4</v>
      </c>
    </row>
    <row r="32">
      <c r="A32" t="inlineStr">
        <is>
          <t>C31</t>
        </is>
      </c>
      <c r="B32" t="inlineStr">
        <is>
          <t>Adoption &amp; Change Management</t>
        </is>
      </c>
      <c r="C32" t="inlineStr">
        <is>
          <t>Change risk controls</t>
        </is>
      </c>
      <c r="D32" t="inlineStr">
        <is>
          <t>Rollout by repo/branch; guardrails; revert and kill-switch.</t>
        </is>
      </c>
      <c r="F32" t="n">
        <v>1</v>
      </c>
      <c r="G32" t="n">
        <v>1</v>
      </c>
      <c r="H32" t="n">
        <v>1</v>
      </c>
      <c r="I32">
        <f>G32*H32</f>
        <v/>
      </c>
      <c r="Q32">
        <f>IFERROR(I32*N32,0)</f>
        <v/>
      </c>
      <c r="R32">
        <f>IFERROR(I32*O32,0)</f>
        <v/>
      </c>
      <c r="S32">
        <f>IFERROR(I32*P32,0)</f>
        <v/>
      </c>
      <c r="E32" t="inlineStr">
        <is>
          <t>No</t>
        </is>
      </c>
      <c r="N32" t="n">
        <v>4</v>
      </c>
      <c r="O32" t="n">
        <v>3</v>
      </c>
      <c r="P32" t="n">
        <v>4</v>
      </c>
    </row>
    <row r="33">
      <c r="A33" t="inlineStr">
        <is>
          <t>C32</t>
        </is>
      </c>
      <c r="B33" t="inlineStr">
        <is>
          <t>Adoption &amp; Change Management</t>
        </is>
      </c>
      <c r="C33" t="inlineStr">
        <is>
          <t>Vendor support</t>
        </is>
      </c>
      <c r="D33" t="inlineStr">
        <is>
          <t>Community strength, roadmap transparency, and responsiveness.</t>
        </is>
      </c>
      <c r="F33" t="n">
        <v>1</v>
      </c>
      <c r="G33" t="n">
        <v>1</v>
      </c>
      <c r="H33" t="n">
        <v>1</v>
      </c>
      <c r="I33">
        <f>G33*H33</f>
        <v/>
      </c>
      <c r="Q33">
        <f>IFERROR(I33*N33,0)</f>
        <v/>
      </c>
      <c r="R33">
        <f>IFERROR(I33*O33,0)</f>
        <v/>
      </c>
      <c r="S33">
        <f>IFERROR(I33*P33,0)</f>
        <v/>
      </c>
      <c r="E33" t="inlineStr">
        <is>
          <t>No</t>
        </is>
      </c>
      <c r="N33" t="n">
        <v>4</v>
      </c>
      <c r="O33" t="n">
        <v>3</v>
      </c>
      <c r="P33" t="n">
        <v>4</v>
      </c>
    </row>
    <row r="34">
      <c r="A34" t="inlineStr">
        <is>
          <t>C33</t>
        </is>
      </c>
      <c r="B34" t="inlineStr">
        <is>
          <t>Innovation Readiness (2026)</t>
        </is>
      </c>
      <c r="C34" t="inlineStr">
        <is>
          <t>Tool protocol interoperability</t>
        </is>
      </c>
      <c r="D34" t="inlineStr">
        <is>
          <t>MCP/tool-calling ecosystem readiness and interoperability.</t>
        </is>
      </c>
      <c r="F34" t="n">
        <v>1</v>
      </c>
      <c r="G34" t="n">
        <v>1</v>
      </c>
      <c r="H34" t="n">
        <v>1</v>
      </c>
      <c r="I34">
        <f>G34*H34</f>
        <v/>
      </c>
      <c r="Q34">
        <f>IFERROR(I34*N34,0)</f>
        <v/>
      </c>
      <c r="R34">
        <f>IFERROR(I34*O34,0)</f>
        <v/>
      </c>
      <c r="S34">
        <f>IFERROR(I34*P34,0)</f>
        <v/>
      </c>
      <c r="E34" t="inlineStr">
        <is>
          <t>Yes</t>
        </is>
      </c>
      <c r="N34" t="n">
        <v>5</v>
      </c>
      <c r="O34" t="n">
        <v>3</v>
      </c>
      <c r="P34" t="n">
        <v>4</v>
      </c>
    </row>
    <row r="35">
      <c r="A35" t="inlineStr">
        <is>
          <t>C34</t>
        </is>
      </c>
      <c r="B35" t="inlineStr">
        <is>
          <t>Innovation Readiness (2026)</t>
        </is>
      </c>
      <c r="C35" t="inlineStr">
        <is>
          <t>Autonomous issue-to-PR execution</t>
        </is>
      </c>
      <c r="D35" t="inlineStr">
        <is>
          <t>Bounded multi-step delivery from issue context to reviewable PR.</t>
        </is>
      </c>
      <c r="F35" t="n">
        <v>1</v>
      </c>
      <c r="G35" t="n">
        <v>1</v>
      </c>
      <c r="H35" t="n">
        <v>1</v>
      </c>
      <c r="I35">
        <f>G35*H35</f>
        <v/>
      </c>
      <c r="Q35">
        <f>IFERROR(I35*N35,0)</f>
        <v/>
      </c>
      <c r="R35">
        <f>IFERROR(I35*O35,0)</f>
        <v/>
      </c>
      <c r="S35">
        <f>IFERROR(I35*P35,0)</f>
        <v/>
      </c>
      <c r="E35" t="inlineStr">
        <is>
          <t>No</t>
        </is>
      </c>
      <c r="N35" t="n">
        <v>5</v>
      </c>
      <c r="O35" t="n">
        <v>3</v>
      </c>
      <c r="P35" t="n">
        <v>4</v>
      </c>
    </row>
    <row r="36">
      <c r="A36" t="inlineStr">
        <is>
          <t>C35</t>
        </is>
      </c>
      <c r="B36" t="inlineStr">
        <is>
          <t>Innovation Readiness (2026)</t>
        </is>
      </c>
      <c r="C36" t="inlineStr">
        <is>
          <t>Eval harness &amp; benchmarking</t>
        </is>
      </c>
      <c r="D36" t="inlineStr">
        <is>
          <t>Repeatable quality evaluation pipeline for tools/models.</t>
        </is>
      </c>
      <c r="F36" t="n">
        <v>1</v>
      </c>
      <c r="G36" t="n">
        <v>1</v>
      </c>
      <c r="H36" t="n">
        <v>1</v>
      </c>
      <c r="I36">
        <f>G36*H36</f>
        <v/>
      </c>
      <c r="Q36">
        <f>IFERROR(I36*N36,0)</f>
        <v/>
      </c>
      <c r="R36">
        <f>IFERROR(I36*O36,0)</f>
        <v/>
      </c>
      <c r="S36">
        <f>IFERROR(I36*P36,0)</f>
        <v/>
      </c>
      <c r="E36" t="inlineStr">
        <is>
          <t>No</t>
        </is>
      </c>
      <c r="N36" t="n">
        <v>5</v>
      </c>
      <c r="O36" t="n">
        <v>3</v>
      </c>
      <c r="P36" t="n">
        <v>4</v>
      </c>
    </row>
    <row r="37">
      <c r="A37" t="inlineStr">
        <is>
          <t>C36</t>
        </is>
      </c>
      <c r="B37" t="inlineStr">
        <is>
          <t>Innovation Readiness (2026)</t>
        </is>
      </c>
      <c r="C37" t="inlineStr">
        <is>
          <t>Memory/context lifecycle controls</t>
        </is>
      </c>
      <c r="D37" t="inlineStr">
        <is>
          <t>Persistent project memory with retention, deletion, and governance controls.</t>
        </is>
      </c>
      <c r="F37" t="n">
        <v>1</v>
      </c>
      <c r="G37" t="n">
        <v>1</v>
      </c>
      <c r="H37" t="n">
        <v>1</v>
      </c>
      <c r="I37">
        <f>G37*H37</f>
        <v/>
      </c>
      <c r="Q37">
        <f>IFERROR(I37*N37,0)</f>
        <v/>
      </c>
      <c r="R37">
        <f>IFERROR(I37*O37,0)</f>
        <v/>
      </c>
      <c r="S37">
        <f>IFERROR(I37*P37,0)</f>
        <v/>
      </c>
      <c r="E37" t="inlineStr">
        <is>
          <t>No</t>
        </is>
      </c>
      <c r="N37" t="n">
        <v>5</v>
      </c>
      <c r="O37" t="n">
        <v>3</v>
      </c>
      <c r="P37" t="n">
        <v>4</v>
      </c>
    </row>
    <row r="38">
      <c r="A38" t="inlineStr">
        <is>
          <t>C37</t>
        </is>
      </c>
      <c r="B38" t="inlineStr">
        <is>
          <t>Innovation Readiness (2026)</t>
        </is>
      </c>
      <c r="C38" t="inlineStr">
        <is>
          <t>Multimodal engineering support</t>
        </is>
      </c>
      <c r="D38" t="inlineStr">
        <is>
          <t>Use screenshots/logs/diagrams/traces to drive code and test changes.</t>
        </is>
      </c>
      <c r="F38" t="n">
        <v>1</v>
      </c>
      <c r="G38" t="n">
        <v>1</v>
      </c>
      <c r="H38" t="n">
        <v>1</v>
      </c>
      <c r="I38">
        <f>G38*H38</f>
        <v/>
      </c>
      <c r="Q38">
        <f>IFERROR(I38*N38,0)</f>
        <v/>
      </c>
      <c r="R38">
        <f>IFERROR(I38*O38,0)</f>
        <v/>
      </c>
      <c r="S38">
        <f>IFERROR(I38*P38,0)</f>
        <v/>
      </c>
      <c r="E38" t="inlineStr">
        <is>
          <t>No</t>
        </is>
      </c>
      <c r="N38" t="n">
        <v>5</v>
      </c>
      <c r="O38" t="n">
        <v>3</v>
      </c>
      <c r="P38" t="n">
        <v>4</v>
      </c>
    </row>
    <row r="39">
      <c r="A39" t="inlineStr">
        <is>
          <t>C38</t>
        </is>
      </c>
      <c r="B39" t="inlineStr">
        <is>
          <t>Innovation Readiness (2026)</t>
        </is>
      </c>
      <c r="C39" t="inlineStr">
        <is>
          <t>Policy-as-code guardrails</t>
        </is>
      </c>
      <c r="D39" t="inlineStr">
        <is>
          <t>Enforceable runtime action policies with auditable outcomes.</t>
        </is>
      </c>
      <c r="F39" t="n">
        <v>1</v>
      </c>
      <c r="G39" t="n">
        <v>1</v>
      </c>
      <c r="H39" t="n">
        <v>1</v>
      </c>
      <c r="I39">
        <f>G39*H39</f>
        <v/>
      </c>
      <c r="Q39">
        <f>IFERROR(I39*N39,0)</f>
        <v/>
      </c>
      <c r="R39">
        <f>IFERROR(I39*O39,0)</f>
        <v/>
      </c>
      <c r="S39">
        <f>IFERROR(I39*P39,0)</f>
        <v/>
      </c>
      <c r="E39" t="inlineStr">
        <is>
          <t>No</t>
        </is>
      </c>
      <c r="N39" t="n">
        <v>5</v>
      </c>
      <c r="O39" t="n">
        <v>3</v>
      </c>
      <c r="P39" t="n">
        <v>4</v>
      </c>
    </row>
    <row r="40">
      <c r="A40" t="inlineStr">
        <is>
          <t>C39</t>
        </is>
      </c>
      <c r="B40" t="inlineStr">
        <is>
          <t>Innovation Readiness (2026)</t>
        </is>
      </c>
      <c r="C40" t="inlineStr">
        <is>
          <t>Private/local model deployment flexibility</t>
        </is>
      </c>
      <c r="D40" t="inlineStr">
        <is>
          <t>Self-hosted and hybrid model deployment options for sensitive workloads.</t>
        </is>
      </c>
      <c r="F40" t="n">
        <v>1</v>
      </c>
      <c r="G40" t="n">
        <v>1</v>
      </c>
      <c r="H40" t="n">
        <v>1</v>
      </c>
      <c r="I40">
        <f>G40*H40</f>
        <v/>
      </c>
      <c r="Q40">
        <f>IFERROR(I40*N40,0)</f>
        <v/>
      </c>
      <c r="R40">
        <f>IFERROR(I40*O40,0)</f>
        <v/>
      </c>
      <c r="S40">
        <f>IFERROR(I40*P40,0)</f>
        <v/>
      </c>
      <c r="E40" t="inlineStr">
        <is>
          <t>No</t>
        </is>
      </c>
      <c r="N40" t="n">
        <v>5</v>
      </c>
      <c r="O40" t="n">
        <v>3</v>
      </c>
      <c r="P40" t="n">
        <v>4</v>
      </c>
    </row>
    <row r="41">
      <c r="A41" t="inlineStr">
        <is>
          <t>C40</t>
        </is>
      </c>
      <c r="B41" t="inlineStr">
        <is>
          <t>Innovation Readiness (2026)</t>
        </is>
      </c>
      <c r="C41" t="inlineStr">
        <is>
          <t>Continuous adaptation &amp; feedback loops</t>
        </is>
      </c>
      <c r="D41" t="inlineStr">
        <is>
          <t>Learns from accepted/rejected edits and improves over time.</t>
        </is>
      </c>
      <c r="F41" t="n">
        <v>1</v>
      </c>
      <c r="G41" t="n">
        <v>1</v>
      </c>
      <c r="H41" t="n">
        <v>1</v>
      </c>
      <c r="I41">
        <f>G41*H41</f>
        <v/>
      </c>
      <c r="Q41">
        <f>IFERROR(I41*N41,0)</f>
        <v/>
      </c>
      <c r="R41">
        <f>IFERROR(I41*O41,0)</f>
        <v/>
      </c>
      <c r="S41">
        <f>IFERROR(I41*P41,0)</f>
        <v/>
      </c>
      <c r="E41" t="inlineStr">
        <is>
          <t>No</t>
        </is>
      </c>
      <c r="N41" t="n">
        <v>5</v>
      </c>
      <c r="O41" t="n">
        <v>3</v>
      </c>
      <c r="P41" t="n">
        <v>4</v>
      </c>
    </row>
  </sheetData>
  <autoFilter ref="A1:S41"/>
  <dataValidations count="3">
    <dataValidation sqref="E2:E41" showErrorMessage="1" showDropDown="1" showInputMessage="1" allowBlank="1" type="list">
      <formula1>"Yes,No"</formula1>
    </dataValidation>
    <dataValidation sqref="N2:N41 O2:O41 P2:P41" showErrorMessage="1" showInputMessage="1" allowBlank="1" type="whole" operator="between">
      <formula1>0</formula1>
      <formula2>5</formula2>
    </dataValidation>
    <dataValidation sqref="F2:H41" showErrorMessage="1" showInputMessage="1" allowBlank="1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Score scale 0-5</t>
        </is>
      </c>
      <c r="B2" t="inlineStr">
        <is>
          <t>Use integers 0-5 for each criterion per vendor</t>
        </is>
      </c>
    </row>
    <row r="3">
      <c r="A3" t="inlineStr">
        <is>
          <t>0</t>
        </is>
      </c>
      <c r="B3" t="inlineStr">
        <is>
          <t>No capability / not applicable</t>
        </is>
      </c>
    </row>
    <row r="4">
      <c r="A4" t="inlineStr">
        <is>
          <t>1</t>
        </is>
      </c>
      <c r="B4" t="inlineStr">
        <is>
          <t>Initial / experimental capability</t>
        </is>
      </c>
    </row>
    <row r="5">
      <c r="A5" t="inlineStr">
        <is>
          <t>2</t>
        </is>
      </c>
      <c r="B5" t="inlineStr">
        <is>
          <t>Basic capability; gaps for production use</t>
        </is>
      </c>
    </row>
    <row r="6">
      <c r="A6" t="inlineStr">
        <is>
          <t>3</t>
        </is>
      </c>
      <c r="B6" t="inlineStr">
        <is>
          <t>Good capability; meets most needs</t>
        </is>
      </c>
    </row>
    <row r="7">
      <c r="A7" t="inlineStr">
        <is>
          <t>4</t>
        </is>
      </c>
      <c r="B7" t="inlineStr">
        <is>
          <t>Strong capability; minor gaps only</t>
        </is>
      </c>
    </row>
    <row r="8">
      <c r="A8" t="inlineStr">
        <is>
          <t>5</t>
        </is>
      </c>
      <c r="B8" t="inlineStr">
        <is>
          <t>Best-in-class / exceeds needs</t>
        </is>
      </c>
    </row>
    <row r="9">
      <c r="A9" t="inlineStr">
        <is>
          <t>Must-have pass threshold</t>
        </is>
      </c>
      <c r="B9" t="inlineStr">
        <is>
          <t>Minimum score a must-have must meet</t>
        </is>
      </c>
    </row>
    <row r="10">
      <c r="A10" t="inlineStr">
        <is>
          <t>Default must-have threshold</t>
        </is>
      </c>
      <c r="B10" t="n">
        <v>3</v>
      </c>
    </row>
    <row r="11">
      <c r="A11" t="inlineStr">
        <is>
          <t>Category Weight</t>
        </is>
      </c>
      <c r="B11" t="inlineStr">
        <is>
          <t>Relative importance of a category; repeated on checklist rows</t>
        </is>
      </c>
    </row>
    <row r="12">
      <c r="A12" t="inlineStr">
        <is>
          <t>Criterion Weight</t>
        </is>
      </c>
      <c r="B12" t="inlineStr">
        <is>
          <t>Relative importance of criterion within category</t>
        </is>
      </c>
    </row>
    <row r="13">
      <c r="A13" t="inlineStr">
        <is>
          <t>Effective Weight</t>
        </is>
      </c>
      <c r="B13" t="inlineStr">
        <is>
          <t>Calculated as Category Weight x Criterion Weight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 s="1">
        <is>
          <t>Vendor</t>
        </is>
      </c>
      <c r="B1" t="inlineStr" s="1">
        <is>
          <t>Total Effective Weight (auto)</t>
        </is>
      </c>
      <c r="C1" t="inlineStr" s="1">
        <is>
          <t>Weighted Score (auto)</t>
        </is>
      </c>
      <c r="D1" t="inlineStr" s="1">
        <is>
          <t>Normalized Score % (auto)</t>
        </is>
      </c>
      <c r="E1" t="inlineStr" s="1">
        <is>
          <t>Must-Have Pass? (auto)</t>
        </is>
      </c>
      <c r="G1" t="inlineStr" s="1">
        <is>
          <t>Category</t>
        </is>
      </c>
      <c r="H1" t="inlineStr" s="1">
        <is>
          <t>Vendor A Weighted</t>
        </is>
      </c>
      <c r="I1" t="inlineStr" s="1">
        <is>
          <t>Vendor B Weighted</t>
        </is>
      </c>
      <c r="J1" t="inlineStr" s="1">
        <is>
          <t>Vendor C Weighted</t>
        </is>
      </c>
      <c r="K1" t="inlineStr" s="1">
        <is>
          <t>Max Points</t>
        </is>
      </c>
    </row>
    <row r="2">
      <c r="A2" t="inlineStr">
        <is>
          <t>Vendor A</t>
        </is>
      </c>
      <c r="B2" s="2">
        <f>SUM(Checklist!I2:I41)</f>
        <v/>
      </c>
      <c r="C2" s="2">
        <f>SUM(Checklist!Q2:Q41)</f>
        <v/>
      </c>
      <c r="D2" s="3">
        <f>IFERROR(C2/(B2*5)*100,0)</f>
        <v/>
      </c>
      <c r="E2">
        <f>IF(COUNTIFS(Checklist!E2:E41,"Yes",Checklist!N2:N41,"&lt;"&amp;Rubric!B10)&gt;0,"FAIL","PASS")</f>
        <v/>
      </c>
      <c r="G2" t="inlineStr">
        <is>
          <t>Technical Capabilities</t>
        </is>
      </c>
      <c r="H2" s="2">
        <f>SUMIFS(Checklist!Q$2:Q$41,Checklist!B$2:B$41,$G2)</f>
        <v/>
      </c>
      <c r="I2" s="2">
        <f>SUMIFS(Checklist!R$2:R$41,Checklist!B$2:B$41,$G2)</f>
        <v/>
      </c>
      <c r="J2" s="2">
        <f>SUMIFS(Checklist!S$2:S$41,Checklist!B$2:B$41,$G2)</f>
        <v/>
      </c>
      <c r="K2" s="2">
        <f>SUMIFS(Checklist!I$2:I$41,Checklist!B$2:B$41,$G2)*5</f>
        <v/>
      </c>
    </row>
    <row r="3">
      <c r="A3" t="inlineStr">
        <is>
          <t>Vendor B</t>
        </is>
      </c>
      <c r="B3" s="2">
        <f>SUM(Checklist!I2:I41)</f>
        <v/>
      </c>
      <c r="C3" s="2">
        <f>SUM(Checklist!R2:R41)</f>
        <v/>
      </c>
      <c r="D3" s="3">
        <f>IFERROR(C3/(B3*5)*100,0)</f>
        <v/>
      </c>
      <c r="E3">
        <f>IF(COUNTIFS(Checklist!E2:E41,"Yes",Checklist!O2:O41,"&lt;"&amp;Rubric!B10)&gt;0,"FAIL","PASS")</f>
        <v/>
      </c>
      <c r="G3" t="inlineStr">
        <is>
          <t>Code Quality &amp; Safety</t>
        </is>
      </c>
      <c r="H3" s="2">
        <f>SUMIFS(Checklist!Q$2:Q$41,Checklist!B$2:B$41,$G3)</f>
        <v/>
      </c>
      <c r="I3" s="2">
        <f>SUMIFS(Checklist!R$2:R$41,Checklist!B$2:B$41,$G3)</f>
        <v/>
      </c>
      <c r="J3" s="2">
        <f>SUMIFS(Checklist!S$2:S$41,Checklist!B$2:B$41,$G3)</f>
        <v/>
      </c>
      <c r="K3" s="2">
        <f>SUMIFS(Checklist!I$2:I$41,Checklist!B$2:B$41,$G3)*5</f>
        <v/>
      </c>
    </row>
    <row r="4">
      <c r="A4" t="inlineStr">
        <is>
          <t>Vendor C</t>
        </is>
      </c>
      <c r="B4" s="2">
        <f>SUM(Checklist!I2:I41)</f>
        <v/>
      </c>
      <c r="C4" s="2">
        <f>SUM(Checklist!S2:S41)</f>
        <v/>
      </c>
      <c r="D4" s="3">
        <f>IFERROR(C4/(B4*5)*100,0)</f>
        <v/>
      </c>
      <c r="E4">
        <f>IF(COUNTIFS(Checklist!E2:E41,"Yes",Checklist!P2:P41,"&lt;"&amp;Rubric!B10)&gt;0,"FAIL","PASS")</f>
        <v/>
      </c>
      <c r="G4" t="inlineStr">
        <is>
          <t>Integration &amp; Workflow</t>
        </is>
      </c>
      <c r="H4" s="2">
        <f>SUMIFS(Checklist!Q$2:Q$41,Checklist!B$2:B$41,$G4)</f>
        <v/>
      </c>
      <c r="I4" s="2">
        <f>SUMIFS(Checklist!R$2:R$41,Checklist!B$2:B$41,$G4)</f>
        <v/>
      </c>
      <c r="J4" s="2">
        <f>SUMIFS(Checklist!S$2:S$41,Checklist!B$2:B$41,$G4)</f>
        <v/>
      </c>
      <c r="K4" s="2">
        <f>SUMIFS(Checklist!I$2:I$41,Checklist!B$2:B$41,$G4)*5</f>
        <v/>
      </c>
    </row>
    <row r="5">
      <c r="G5" t="inlineStr">
        <is>
          <t>Measurement &amp; Value</t>
        </is>
      </c>
      <c r="H5" s="2">
        <f>SUMIFS(Checklist!Q$2:Q$41,Checklist!B$2:B$41,$G5)</f>
        <v/>
      </c>
      <c r="I5" s="2">
        <f>SUMIFS(Checklist!R$2:R$41,Checklist!B$2:B$41,$G5)</f>
        <v/>
      </c>
      <c r="J5" s="2">
        <f>SUMIFS(Checklist!S$2:S$41,Checklist!B$2:B$41,$G5)</f>
        <v/>
      </c>
      <c r="K5" s="2">
        <f>SUMIFS(Checklist!I$2:I$41,Checklist!B$2:B$41,$G5)*5</f>
        <v/>
      </c>
    </row>
    <row r="6">
      <c r="G6" t="inlineStr">
        <is>
          <t>Enterprise Readiness &amp; Governance</t>
        </is>
      </c>
      <c r="H6" s="2">
        <f>SUMIFS(Checklist!Q$2:Q$41,Checklist!B$2:B$41,$G6)</f>
        <v/>
      </c>
      <c r="I6" s="2">
        <f>SUMIFS(Checklist!R$2:R$41,Checklist!B$2:B$41,$G6)</f>
        <v/>
      </c>
      <c r="J6" s="2">
        <f>SUMIFS(Checklist!S$2:S$41,Checklist!B$2:B$41,$G6)</f>
        <v/>
      </c>
      <c r="K6" s="2">
        <f>SUMIFS(Checklist!I$2:I$41,Checklist!B$2:B$41,$G6)*5</f>
        <v/>
      </c>
    </row>
    <row r="7">
      <c r="G7" t="inlineStr">
        <is>
          <t>Cost &amp; Capacity Planning</t>
        </is>
      </c>
      <c r="H7" s="2">
        <f>SUMIFS(Checklist!Q$2:Q$41,Checklist!B$2:B$41,$G7)</f>
        <v/>
      </c>
      <c r="I7" s="2">
        <f>SUMIFS(Checklist!R$2:R$41,Checklist!B$2:B$41,$G7)</f>
        <v/>
      </c>
      <c r="J7" s="2">
        <f>SUMIFS(Checklist!S$2:S$41,Checklist!B$2:B$41,$G7)</f>
        <v/>
      </c>
      <c r="K7" s="2">
        <f>SUMIFS(Checklist!I$2:I$41,Checklist!B$2:B$41,$G7)*5</f>
        <v/>
      </c>
    </row>
    <row r="8">
      <c r="G8" t="inlineStr">
        <is>
          <t>Adoption &amp; Change Management</t>
        </is>
      </c>
      <c r="H8" s="2">
        <f>SUMIFS(Checklist!Q$2:Q$41,Checklist!B$2:B$41,$G8)</f>
        <v/>
      </c>
      <c r="I8" s="2">
        <f>SUMIFS(Checklist!R$2:R$41,Checklist!B$2:B$41,$G8)</f>
        <v/>
      </c>
      <c r="J8" s="2">
        <f>SUMIFS(Checklist!S$2:S$41,Checklist!B$2:B$41,$G8)</f>
        <v/>
      </c>
      <c r="K8" s="2">
        <f>SUMIFS(Checklist!I$2:I$41,Checklist!B$2:B$41,$G8)*5</f>
        <v/>
      </c>
    </row>
    <row r="9">
      <c r="G9" t="inlineStr">
        <is>
          <t>Innovation Readiness (2026)</t>
        </is>
      </c>
      <c r="H9" s="2">
        <f>SUMIFS(Checklist!Q$2:Q$41,Checklist!B$2:B$41,$G9)</f>
        <v/>
      </c>
      <c r="I9" s="2">
        <f>SUMIFS(Checklist!R$2:R$41,Checklist!B$2:B$41,$G9)</f>
        <v/>
      </c>
      <c r="J9" s="2">
        <f>SUMIFS(Checklist!S$2:S$41,Checklist!B$2:B$41,$G9)</f>
        <v/>
      </c>
      <c r="K9" s="2">
        <f>SUMIFS(Checklist!I$2:I$41,Checklist!B$2:B$41,$G9)*5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 s="1">
        <is>
          <t>Instruction</t>
        </is>
      </c>
    </row>
    <row r="2">
      <c r="A2" t="inlineStr">
        <is>
          <t>Fill Must-Have as Yes/No, set Weight, Category Weight, and Criterion Weight (&gt;0).</t>
        </is>
      </c>
    </row>
    <row r="3">
      <c r="A3" t="inlineStr">
        <is>
          <t>Effective Weight is calculated automatically as Category Weight x Criterion Weight.</t>
        </is>
      </c>
    </row>
    <row r="4">
      <c r="A4" t="inlineStr">
        <is>
          <t>Enter 0-5 in score columns (N:P) for each vendor.</t>
        </is>
      </c>
    </row>
    <row r="5">
      <c r="A5" t="inlineStr">
        <is>
          <t>Use Evidence/Notes, Data Source, Reviewer, and Date for traceability.</t>
        </is>
      </c>
    </row>
    <row r="6">
      <c r="A6" t="inlineStr">
        <is>
          <t>Review Rubric for score definitions and set must-have threshold in Rubric!B10.</t>
        </is>
      </c>
    </row>
    <row r="7">
      <c r="A7" t="inlineStr">
        <is>
          <t>See Rollup for weighted totals, normalized score, must-have status, and category breakdown.</t>
        </is>
      </c>
    </row>
    <row r="8">
      <c r="A8" t="inlineStr">
        <is>
          <t>You can rename vendors directly in Rollup sheet cells A2:A4.</t>
        </is>
      </c>
    </row>
    <row r="9">
      <c r="A9" t="inlineStr">
        <is>
          <t>Last synchronized with workbook schema version: v2026.1.</t>
        </is>
      </c>
    </row>
    <row r="10">
      <c r="A10" t="inlineStr">
        <is>
          <t>Scoring example loaded: A should rank highest; B should pass with lower score; C should FAIL must-have (C22).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2025-08-17T21:33:47Z</dcterms:created>
  <dcterms:modified xmlns:dcterms="http://purl.org/dc/terms/" xmlns:xsi="http://www.w3.org/2001/XMLSchema-instance" xsi:type="dcterms:W3CDTF">2025-08-17T21:33:47Z</dcterms:modified>
</cp:coreProperties>
</file>